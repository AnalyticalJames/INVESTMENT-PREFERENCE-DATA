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KHING'S PC\Downloads\"/>
    </mc:Choice>
  </mc:AlternateContent>
  <xr:revisionPtr revIDLastSave="0" documentId="13_ncr:1_{D32B2855-1FAD-4E6B-8BE0-B4CD05B780C6}" xr6:coauthVersionLast="47" xr6:coauthVersionMax="47" xr10:uidLastSave="{00000000-0000-0000-0000-000000000000}"/>
  <bookViews>
    <workbookView xWindow="-120" yWindow="-120" windowWidth="20730" windowHeight="11040" firstSheet="6" activeTab="8" xr2:uid="{7943D58B-0BFC-4164-B44B-9C417436823D}"/>
  </bookViews>
  <sheets>
    <sheet name=" Investment Avenue by Gender " sheetId="3" r:id="rId1"/>
    <sheet name="Preferences by Age Group" sheetId="4" r:id="rId2"/>
    <sheet name="Factors Influencing Decisions" sheetId="5" r:id="rId3"/>
    <sheet name="Saving Objectives by Investment" sheetId="6" r:id="rId4"/>
    <sheet name="Reasons for MF by Returns" sheetId="7" r:id="rId5"/>
    <sheet name="KPI Base Pivot" sheetId="8" r:id="rId6"/>
    <sheet name="KPI HELPER" sheetId="9" r:id="rId7"/>
    <sheet name="Investment Preference Data" sheetId="1" r:id="rId8"/>
    <sheet name="Dashboard" sheetId="10" r:id="rId9"/>
  </sheets>
  <definedNames>
    <definedName name="_xlnm.Print_Area" localSheetId="8">Dashboard!$A$1:$R$35</definedName>
    <definedName name="Slicer_Age_Group">#N/A</definedName>
    <definedName name="Slicer_Duration">#N/A</definedName>
    <definedName name="Slicer_gender">#N/A</definedName>
  </definedNames>
  <calcPr calcId="191029"/>
  <pivotCaches>
    <pivotCache cacheId="2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9" l="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alcChain>
</file>

<file path=xl/sharedStrings.xml><?xml version="1.0" encoding="utf-8"?>
<sst xmlns="http://schemas.openxmlformats.org/spreadsheetml/2006/main" count="746" uniqueCount="83">
  <si>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</si>
  <si>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</si>
  <si>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</si>
  <si>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</si>
  <si>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</si>
  <si>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</si>
  <si>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</si>
  <si>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</si>
  <si>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</si>
  <si>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</si>
  <si>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</si>
  <si>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</si>
  <si>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</si>
  <si>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</si>
  <si>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</si>
  <si>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</si>
  <si>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</si>
  <si>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</si>
  <si>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</si>
  <si>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</si>
  <si>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</si>
  <si>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</si>
  <si>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</si>
  <si>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</si>
  <si>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</si>
  <si>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</si>
  <si>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</si>
  <si>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</si>
  <si>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</si>
  <si>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</si>
  <si>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</si>
  <si>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</si>
  <si>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</si>
  <si>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</si>
  <si>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</si>
  <si>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</si>
  <si>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</si>
  <si>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</si>
  <si>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</si>
  <si>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</si>
  <si>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</si>
  <si>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</si>
  <si>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</si>
  <si>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</si>
  <si>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</si>
  <si>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</si>
  <si>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</si>
  <si>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</si>
  <si>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</si>
  <si>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</si>
  <si>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</si>
  <si>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</si>
  <si>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</si>
  <si>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</si>
  <si>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</si>
  <si>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</si>
  <si>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</si>
  <si>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</si>
  <si>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</si>
  <si>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</si>
  <si>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</si>
  <si>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</si>
  <si>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</si>
  <si>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</si>
  <si>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</si>
  <si>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</si>
  <si>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</si>
  <si>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</si>
  <si>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Age_Group</t>
  </si>
  <si>
    <t>Row Labels</t>
  </si>
  <si>
    <t>Grand Total</t>
  </si>
  <si>
    <t>Column Labels</t>
  </si>
  <si>
    <t>Count of Avenue</t>
  </si>
  <si>
    <t>Early Adulthood</t>
  </si>
  <si>
    <t>Established Adulthood</t>
  </si>
  <si>
    <t>Experienced Adulthood</t>
  </si>
  <si>
    <t>Count of Investment_Avenues</t>
  </si>
  <si>
    <t>Count of Factor</t>
  </si>
  <si>
    <t>Count of What are your savings objectives?</t>
  </si>
  <si>
    <t>Count of Reason_Mutual</t>
  </si>
  <si>
    <t>Count of gender</t>
  </si>
  <si>
    <t>Count of Stock_Marktet</t>
  </si>
  <si>
    <t>Count of Expect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</si>
</sst>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49"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1" formatCode="0"/>
    </dxf>
    <dxf>
      <numFmt numFmtId="1" formatCode="0"/>
    </dxf>
    <dxf>
      <numFmt numFmtId="30" formatCode="@"/>
    </dxf>
    <dxf>
      <numFmt numFmtId="1" formatCode="0"/>
    </dxf>
    <dxf>
      <numFmt numFmtId="1" formatCode="0"/>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2" formatCode="0.0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 Investment Avenue by Gender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Preferred Investment Avenue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Investment Avenue by Gender '!$B$3:$B$4</c:f>
              <c:strCache>
                <c:ptCount val="1"/>
                <c:pt idx="0">
                  <c:v>Female</c:v>
                </c:pt>
              </c:strCache>
            </c:strRef>
          </c:tx>
          <c:spPr>
            <a:solidFill>
              <a:schemeClr val="accent1"/>
            </a:solidFill>
            <a:ln>
              <a:noFill/>
            </a:ln>
            <a:effectLst/>
          </c:spPr>
          <c:invertIfNegative val="0"/>
          <c:cat>
            <c:strRef>
              <c:f>' Investment Avenue by Gender '!$A$5:$A$9</c:f>
              <c:strCache>
                <c:ptCount val="4"/>
                <c:pt idx="0">
                  <c:v>Equity</c:v>
                </c:pt>
                <c:pt idx="1">
                  <c:v>Fixed Deposits</c:v>
                </c:pt>
                <c:pt idx="2">
                  <c:v>Mutual Fund</c:v>
                </c:pt>
                <c:pt idx="3">
                  <c:v>Public Provident Fund</c:v>
                </c:pt>
              </c:strCache>
            </c:strRef>
          </c:cat>
          <c:val>
            <c:numRef>
              <c:f>' Investment Avenue by Gender '!$B$5:$B$9</c:f>
              <c:numCache>
                <c:formatCode>General</c:formatCode>
                <c:ptCount val="4"/>
                <c:pt idx="0">
                  <c:v>3</c:v>
                </c:pt>
                <c:pt idx="1">
                  <c:v>3</c:v>
                </c:pt>
                <c:pt idx="2">
                  <c:v>8</c:v>
                </c:pt>
                <c:pt idx="3">
                  <c:v>1</c:v>
                </c:pt>
              </c:numCache>
            </c:numRef>
          </c:val>
          <c:extLst>
            <c:ext xmlns:c16="http://schemas.microsoft.com/office/drawing/2014/chart" uri="{C3380CC4-5D6E-409C-BE32-E72D297353CC}">
              <c16:uniqueId val="{00000000-5D0D-41F2-A462-EA841F1F88D9}"/>
            </c:ext>
          </c:extLst>
        </c:ser>
        <c:ser>
          <c:idx val="1"/>
          <c:order val="1"/>
          <c:tx>
            <c:strRef>
              <c:f>' Investment Avenue by Gender '!$C$3:$C$4</c:f>
              <c:strCache>
                <c:ptCount val="1"/>
                <c:pt idx="0">
                  <c:v>Male</c:v>
                </c:pt>
              </c:strCache>
            </c:strRef>
          </c:tx>
          <c:spPr>
            <a:solidFill>
              <a:schemeClr val="accent2"/>
            </a:solidFill>
            <a:ln>
              <a:noFill/>
            </a:ln>
            <a:effectLst/>
          </c:spPr>
          <c:invertIfNegative val="0"/>
          <c:cat>
            <c:strRef>
              <c:f>' Investment Avenue by Gender '!$A$5:$A$9</c:f>
              <c:strCache>
                <c:ptCount val="4"/>
                <c:pt idx="0">
                  <c:v>Equity</c:v>
                </c:pt>
                <c:pt idx="1">
                  <c:v>Fixed Deposits</c:v>
                </c:pt>
                <c:pt idx="2">
                  <c:v>Mutual Fund</c:v>
                </c:pt>
                <c:pt idx="3">
                  <c:v>Public Provident Fund</c:v>
                </c:pt>
              </c:strCache>
            </c:strRef>
          </c:cat>
          <c:val>
            <c:numRef>
              <c:f>' Investment Avenue by Gender '!$C$5:$C$9</c:f>
              <c:numCache>
                <c:formatCode>General</c:formatCode>
                <c:ptCount val="4"/>
                <c:pt idx="0">
                  <c:v>7</c:v>
                </c:pt>
                <c:pt idx="1">
                  <c:v>6</c:v>
                </c:pt>
                <c:pt idx="2">
                  <c:v>10</c:v>
                </c:pt>
                <c:pt idx="3">
                  <c:v>2</c:v>
                </c:pt>
              </c:numCache>
            </c:numRef>
          </c:val>
          <c:extLst>
            <c:ext xmlns:c16="http://schemas.microsoft.com/office/drawing/2014/chart" uri="{C3380CC4-5D6E-409C-BE32-E72D297353CC}">
              <c16:uniqueId val="{00000004-5D0D-41F2-A462-EA841F1F88D9}"/>
            </c:ext>
          </c:extLst>
        </c:ser>
        <c:dLbls>
          <c:showLegendKey val="0"/>
          <c:showVal val="0"/>
          <c:showCatName val="0"/>
          <c:showSerName val="0"/>
          <c:showPercent val="0"/>
          <c:showBubbleSize val="0"/>
        </c:dLbls>
        <c:gapWidth val="219"/>
        <c:overlap val="-27"/>
        <c:axId val="1928546816"/>
        <c:axId val="1928547232"/>
      </c:barChart>
      <c:catAx>
        <c:axId val="1928546816"/>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8547232"/>
        <c:crosses val="autoZero"/>
        <c:auto val="1"/>
        <c:lblAlgn val="ctr"/>
        <c:lblOffset val="100"/>
        <c:noMultiLvlLbl val="0"/>
      </c:catAx>
      <c:valAx>
        <c:axId val="1928547232"/>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854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Data.xlsx]Preferences by Age Group!PivotTable3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Investment Participation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'Preferences by Age Group'!$B$3</c:f>
              <c:strCache>
                <c:ptCount val="1"/>
                <c:pt idx="0">
                  <c:v>Total</c:v>
                </c:pt>
              </c:strCache>
            </c:strRef>
          </c:tx>
          <c:spPr>
            <a:solidFill>
              <a:schemeClr val="accent1"/>
            </a:solidFill>
            <a:ln>
              <a:noFill/>
            </a:ln>
            <a:effectLst/>
          </c:spPr>
          <c:invertIfNegative val="0"/>
          <c:cat>
            <c:strRef>
              <c:f>'Preferences by Age Group'!$A$4:$A$7</c:f>
              <c:strCache>
                <c:ptCount val="3"/>
                <c:pt idx="0">
                  <c:v>Early Adulthood</c:v>
                </c:pt>
                <c:pt idx="1">
                  <c:v>Established Adulthood</c:v>
                </c:pt>
                <c:pt idx="2">
                  <c:v>Experienced Adulthood</c:v>
                </c:pt>
              </c:strCache>
            </c:strRef>
          </c:cat>
          <c:val>
            <c:numRef>
              <c:f>'Preferences by Age Group'!$B$4:$B$7</c:f>
              <c:numCache>
                <c:formatCode>General</c:formatCode>
                <c:ptCount val="3"/>
                <c:pt idx="0">
                  <c:v>10</c:v>
                </c:pt>
                <c:pt idx="1">
                  <c:v>21</c:v>
                </c:pt>
                <c:pt idx="2">
                  <c:v>9</c:v>
                </c:pt>
              </c:numCache>
            </c:numRef>
          </c:val>
          <c:extLst>
            <c:ext xmlns:c16="http://schemas.microsoft.com/office/drawing/2014/chart" uri="{C3380CC4-5D6E-409C-BE32-E72D297353CC}">
              <c16:uniqueId val="{00000000-52DA-45D3-8505-634ACD32B466}"/>
            </c:ext>
          </c:extLst>
        </c:ser>
        <c:dLbls>
          <c:showLegendKey val="0"/>
          <c:showVal val="0"/>
          <c:showCatName val="0"/>
          <c:showSerName val="0"/>
          <c:showPercent val="0"/>
          <c:showBubbleSize val="0"/>
        </c:dLbls>
        <c:gapWidth val="219"/>
        <c:overlap val="-27"/>
        <c:axId val="10991808"/>
        <c:axId val="10993056"/>
      </c:barChart>
      <c:catAx>
        <c:axId val="10991808"/>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93056"/>
        <c:crosses val="autoZero"/>
        <c:auto val="1"/>
        <c:lblAlgn val="ctr"/>
        <c:lblOffset val="100"/>
        <c:noMultiLvlLbl val="0"/>
      </c:catAx>
      <c:valAx>
        <c:axId val="10993056"/>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9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Data.xlsx]Factors Influencing Decisions!PivotTable4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Investment Decision Factors Across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'Factors Influencing Decisions'!$B$3:$B$4</c:f>
              <c:strCache>
                <c:ptCount val="1"/>
                <c:pt idx="0">
                  <c:v>Locking Period</c:v>
                </c:pt>
              </c:strCache>
            </c:strRef>
          </c:tx>
          <c:spPr>
            <a:solidFill>
              <a:schemeClr val="accent1"/>
            </a:solidFill>
            <a:ln>
              <a:noFill/>
            </a:ln>
            <a:effectLst/>
          </c:spPr>
          <c:invertIfNegative val="0"/>
          <c:cat>
            <c:strRef>
              <c:f>'Factors Influencing Decisions'!$A$5:$A$8</c:f>
              <c:strCache>
                <c:ptCount val="3"/>
                <c:pt idx="0">
                  <c:v>Early Adulthood</c:v>
                </c:pt>
                <c:pt idx="1">
                  <c:v>Established Adulthood</c:v>
                </c:pt>
                <c:pt idx="2">
                  <c:v>Experienced Adulthood</c:v>
                </c:pt>
              </c:strCache>
            </c:strRef>
          </c:cat>
          <c:val>
            <c:numRef>
              <c:f>'Factors Influencing Decisions'!$B$5:$B$8</c:f>
              <c:numCache>
                <c:formatCode>General</c:formatCode>
                <c:ptCount val="3"/>
                <c:pt idx="0">
                  <c:v>1</c:v>
                </c:pt>
              </c:numCache>
            </c:numRef>
          </c:val>
          <c:extLst>
            <c:ext xmlns:c16="http://schemas.microsoft.com/office/drawing/2014/chart" uri="{C3380CC4-5D6E-409C-BE32-E72D297353CC}">
              <c16:uniqueId val="{00000000-FB69-4F36-B243-0C8A9C2378E6}"/>
            </c:ext>
          </c:extLst>
        </c:ser>
        <c:ser>
          <c:idx val="1"/>
          <c:order val="1"/>
          <c:tx>
            <c:strRef>
              <c:f>'Factors Influencing Decisions'!$C$3:$C$4</c:f>
              <c:strCache>
                <c:ptCount val="1"/>
                <c:pt idx="0">
                  <c:v>Returns</c:v>
                </c:pt>
              </c:strCache>
            </c:strRef>
          </c:tx>
          <c:spPr>
            <a:solidFill>
              <a:schemeClr val="accent2"/>
            </a:solidFill>
            <a:ln>
              <a:noFill/>
            </a:ln>
            <a:effectLst/>
          </c:spPr>
          <c:invertIfNegative val="0"/>
          <c:cat>
            <c:strRef>
              <c:f>'Factors Influencing Decisions'!$A$5:$A$8</c:f>
              <c:strCache>
                <c:ptCount val="3"/>
                <c:pt idx="0">
                  <c:v>Early Adulthood</c:v>
                </c:pt>
                <c:pt idx="1">
                  <c:v>Established Adulthood</c:v>
                </c:pt>
                <c:pt idx="2">
                  <c:v>Experienced Adulthood</c:v>
                </c:pt>
              </c:strCache>
            </c:strRef>
          </c:cat>
          <c:val>
            <c:numRef>
              <c:f>'Factors Influencing Decisions'!$C$5:$C$8</c:f>
              <c:numCache>
                <c:formatCode>General</c:formatCode>
                <c:ptCount val="3"/>
                <c:pt idx="0">
                  <c:v>4</c:v>
                </c:pt>
                <c:pt idx="1">
                  <c:v>16</c:v>
                </c:pt>
                <c:pt idx="2">
                  <c:v>5</c:v>
                </c:pt>
              </c:numCache>
            </c:numRef>
          </c:val>
          <c:extLst>
            <c:ext xmlns:c16="http://schemas.microsoft.com/office/drawing/2014/chart" uri="{C3380CC4-5D6E-409C-BE32-E72D297353CC}">
              <c16:uniqueId val="{00000004-FB69-4F36-B243-0C8A9C2378E6}"/>
            </c:ext>
          </c:extLst>
        </c:ser>
        <c:ser>
          <c:idx val="2"/>
          <c:order val="2"/>
          <c:tx>
            <c:strRef>
              <c:f>'Factors Influencing Decisions'!$D$3:$D$4</c:f>
              <c:strCache>
                <c:ptCount val="1"/>
                <c:pt idx="0">
                  <c:v>Risk</c:v>
                </c:pt>
              </c:strCache>
            </c:strRef>
          </c:tx>
          <c:spPr>
            <a:solidFill>
              <a:schemeClr val="accent3"/>
            </a:solidFill>
            <a:ln>
              <a:noFill/>
            </a:ln>
            <a:effectLst/>
          </c:spPr>
          <c:invertIfNegative val="0"/>
          <c:cat>
            <c:strRef>
              <c:f>'Factors Influencing Decisions'!$A$5:$A$8</c:f>
              <c:strCache>
                <c:ptCount val="3"/>
                <c:pt idx="0">
                  <c:v>Early Adulthood</c:v>
                </c:pt>
                <c:pt idx="1">
                  <c:v>Established Adulthood</c:v>
                </c:pt>
                <c:pt idx="2">
                  <c:v>Experienced Adulthood</c:v>
                </c:pt>
              </c:strCache>
            </c:strRef>
          </c:cat>
          <c:val>
            <c:numRef>
              <c:f>'Factors Influencing Decisions'!$D$5:$D$8</c:f>
              <c:numCache>
                <c:formatCode>General</c:formatCode>
                <c:ptCount val="3"/>
                <c:pt idx="0">
                  <c:v>5</c:v>
                </c:pt>
                <c:pt idx="1">
                  <c:v>5</c:v>
                </c:pt>
                <c:pt idx="2">
                  <c:v>4</c:v>
                </c:pt>
              </c:numCache>
            </c:numRef>
          </c:val>
          <c:extLst>
            <c:ext xmlns:c16="http://schemas.microsoft.com/office/drawing/2014/chart" uri="{C3380CC4-5D6E-409C-BE32-E72D297353CC}">
              <c16:uniqueId val="{00000007-FB69-4F36-B243-0C8A9C2378E6}"/>
            </c:ext>
          </c:extLst>
        </c:ser>
        <c:dLbls>
          <c:showLegendKey val="0"/>
          <c:showVal val="0"/>
          <c:showCatName val="0"/>
          <c:showSerName val="0"/>
          <c:showPercent val="0"/>
          <c:showBubbleSize val="0"/>
        </c:dLbls>
        <c:gapWidth val="150"/>
        <c:overlap val="100"/>
        <c:axId val="109416752"/>
        <c:axId val="109407600"/>
      </c:barChart>
      <c:catAx>
        <c:axId val="109416752"/>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407600"/>
        <c:crosses val="autoZero"/>
        <c:auto val="1"/>
        <c:lblAlgn val="ctr"/>
        <c:lblOffset val="100"/>
        <c:noMultiLvlLbl val="0"/>
      </c:catAx>
      <c:valAx>
        <c:axId val="109407600"/>
        <c:scaling>
          <c:orientation val="minMax"/>
        </c:scaling>
        <c:delete val="0"/>
        <c:axPos val="l"/>
        <c:numFmt formatCode="0%"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416752"/>
        <c:crosses val="autoZero"/>
        <c:crossBetween val="between"/>
      </c:valAx>
      <c:spPr>
        <a:noFill/>
        <a:ln>
          <a:noFill/>
        </a:ln>
        <a:effectLst/>
      </c:spPr>
    </c:plotArea>
    <c:legend>
      <c:legendPos val="r"/>
      <c:overlay val="0"/>
      <c:spPr>
        <a:noFill/>
        <a:ln>
          <a:solidFill>
            <a:schemeClr val="tx1">
              <a:lumMod val="95000"/>
              <a:lumOff val="5000"/>
            </a:schemeClr>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Data.xlsx]Saving Objectives by Investment!PivotTable5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Savings Objectives by Investment Duration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'Saving Objectives by Investment'!$B$3:$B$4</c:f>
              <c:strCache>
                <c:ptCount val="1"/>
                <c:pt idx="0">
                  <c:v>Education</c:v>
                </c:pt>
              </c:strCache>
            </c:strRef>
          </c:tx>
          <c:spPr>
            <a:solidFill>
              <a:schemeClr val="accent1"/>
            </a:solidFill>
            <a:ln>
              <a:noFill/>
            </a:ln>
            <a:effectLst/>
          </c:spPr>
          <c:invertIfNegative val="0"/>
          <c:cat>
            <c:strRef>
              <c:f>'Saving Objectives by Investment'!$A$5:$A$9</c:f>
              <c:strCache>
                <c:ptCount val="4"/>
                <c:pt idx="0">
                  <c:v>1-3 years</c:v>
                </c:pt>
                <c:pt idx="1">
                  <c:v>3-5 years</c:v>
                </c:pt>
                <c:pt idx="2">
                  <c:v>Less than 1 year</c:v>
                </c:pt>
                <c:pt idx="3">
                  <c:v>More than 5 years</c:v>
                </c:pt>
              </c:strCache>
            </c:strRef>
          </c:cat>
          <c:val>
            <c:numRef>
              <c:f>'Saving Objectives by Investment'!$B$5:$B$9</c:f>
              <c:numCache>
                <c:formatCode>General</c:formatCode>
                <c:ptCount val="4"/>
                <c:pt idx="0">
                  <c:v>3</c:v>
                </c:pt>
              </c:numCache>
            </c:numRef>
          </c:val>
          <c:extLst>
            <c:ext xmlns:c16="http://schemas.microsoft.com/office/drawing/2014/chart" uri="{C3380CC4-5D6E-409C-BE32-E72D297353CC}">
              <c16:uniqueId val="{00000005-6031-4FF2-9C4D-D8DC1AA37F3E}"/>
            </c:ext>
          </c:extLst>
        </c:ser>
        <c:ser>
          <c:idx val="1"/>
          <c:order val="1"/>
          <c:tx>
            <c:strRef>
              <c:f>'Saving Objectives by Investment'!$C$3:$C$4</c:f>
              <c:strCache>
                <c:ptCount val="1"/>
                <c:pt idx="0">
                  <c:v>Health Care</c:v>
                </c:pt>
              </c:strCache>
            </c:strRef>
          </c:tx>
          <c:spPr>
            <a:solidFill>
              <a:schemeClr val="accent2"/>
            </a:solidFill>
            <a:ln>
              <a:noFill/>
            </a:ln>
            <a:effectLst/>
          </c:spPr>
          <c:invertIfNegative val="0"/>
          <c:cat>
            <c:strRef>
              <c:f>'Saving Objectives by Investment'!$A$5:$A$9</c:f>
              <c:strCache>
                <c:ptCount val="4"/>
                <c:pt idx="0">
                  <c:v>1-3 years</c:v>
                </c:pt>
                <c:pt idx="1">
                  <c:v>3-5 years</c:v>
                </c:pt>
                <c:pt idx="2">
                  <c:v>Less than 1 year</c:v>
                </c:pt>
                <c:pt idx="3">
                  <c:v>More than 5 years</c:v>
                </c:pt>
              </c:strCache>
            </c:strRef>
          </c:cat>
          <c:val>
            <c:numRef>
              <c:f>'Saving Objectives by Investment'!$C$5:$C$9</c:f>
              <c:numCache>
                <c:formatCode>General</c:formatCode>
                <c:ptCount val="4"/>
                <c:pt idx="0">
                  <c:v>6</c:v>
                </c:pt>
                <c:pt idx="1">
                  <c:v>6</c:v>
                </c:pt>
                <c:pt idx="3">
                  <c:v>1</c:v>
                </c:pt>
              </c:numCache>
            </c:numRef>
          </c:val>
          <c:extLst>
            <c:ext xmlns:c16="http://schemas.microsoft.com/office/drawing/2014/chart" uri="{C3380CC4-5D6E-409C-BE32-E72D297353CC}">
              <c16:uniqueId val="{0000000A-6031-4FF2-9C4D-D8DC1AA37F3E}"/>
            </c:ext>
          </c:extLst>
        </c:ser>
        <c:ser>
          <c:idx val="2"/>
          <c:order val="2"/>
          <c:tx>
            <c:strRef>
              <c:f>'Saving Objectives by Investment'!$D$3:$D$4</c:f>
              <c:strCache>
                <c:ptCount val="1"/>
                <c:pt idx="0">
                  <c:v>Retirement Plan</c:v>
                </c:pt>
              </c:strCache>
            </c:strRef>
          </c:tx>
          <c:spPr>
            <a:solidFill>
              <a:schemeClr val="accent3"/>
            </a:solidFill>
            <a:ln>
              <a:noFill/>
            </a:ln>
            <a:effectLst/>
          </c:spPr>
          <c:invertIfNegative val="0"/>
          <c:cat>
            <c:strRef>
              <c:f>'Saving Objectives by Investment'!$A$5:$A$9</c:f>
              <c:strCache>
                <c:ptCount val="4"/>
                <c:pt idx="0">
                  <c:v>1-3 years</c:v>
                </c:pt>
                <c:pt idx="1">
                  <c:v>3-5 years</c:v>
                </c:pt>
                <c:pt idx="2">
                  <c:v>Less than 1 year</c:v>
                </c:pt>
                <c:pt idx="3">
                  <c:v>More than 5 years</c:v>
                </c:pt>
              </c:strCache>
            </c:strRef>
          </c:cat>
          <c:val>
            <c:numRef>
              <c:f>'Saving Objectives by Investment'!$D$5:$D$9</c:f>
              <c:numCache>
                <c:formatCode>General</c:formatCode>
                <c:ptCount val="4"/>
                <c:pt idx="0">
                  <c:v>9</c:v>
                </c:pt>
                <c:pt idx="1">
                  <c:v>13</c:v>
                </c:pt>
                <c:pt idx="2">
                  <c:v>2</c:v>
                </c:pt>
              </c:numCache>
            </c:numRef>
          </c:val>
          <c:extLst>
            <c:ext xmlns:c16="http://schemas.microsoft.com/office/drawing/2014/chart" uri="{C3380CC4-5D6E-409C-BE32-E72D297353CC}">
              <c16:uniqueId val="{0000000D-6031-4FF2-9C4D-D8DC1AA37F3E}"/>
            </c:ext>
          </c:extLst>
        </c:ser>
        <c:dLbls>
          <c:showLegendKey val="0"/>
          <c:showVal val="0"/>
          <c:showCatName val="0"/>
          <c:showSerName val="0"/>
          <c:showPercent val="0"/>
          <c:showBubbleSize val="0"/>
        </c:dLbls>
        <c:gapWidth val="150"/>
        <c:overlap val="100"/>
        <c:axId val="109416752"/>
        <c:axId val="109407600"/>
      </c:barChart>
      <c:catAx>
        <c:axId val="109416752"/>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407600"/>
        <c:crosses val="autoZero"/>
        <c:auto val="1"/>
        <c:lblAlgn val="ctr"/>
        <c:lblOffset val="100"/>
        <c:noMultiLvlLbl val="0"/>
      </c:catAx>
      <c:valAx>
        <c:axId val="109407600"/>
        <c:scaling>
          <c:orientation val="minMax"/>
        </c:scaling>
        <c:delete val="0"/>
        <c:axPos val="l"/>
        <c:numFmt formatCode="0%"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416752"/>
        <c:crosses val="autoZero"/>
        <c:crossBetween val="between"/>
      </c:valAx>
    </c:plotArea>
    <c:legend>
      <c:legendPos val="r"/>
      <c:overlay val="0"/>
      <c:spPr>
        <a:noFill/>
        <a:ln>
          <a:solidFill>
            <a:schemeClr val="tx1">
              <a:lumMod val="95000"/>
              <a:lumOff val="5000"/>
            </a:schemeClr>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Data.xlsx]Reasons for MF by Returns!PivotTable6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1"/>
              <a:t>Reasons for Mutual Fund Investment by Expected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'Reasons for MF by Returns'!$B$3:$B$4</c:f>
              <c:strCache>
                <c:ptCount val="1"/>
                <c:pt idx="0">
                  <c:v>Better Returns</c:v>
                </c:pt>
              </c:strCache>
            </c:strRef>
          </c:tx>
          <c:spPr>
            <a:solidFill>
              <a:schemeClr val="accent1"/>
            </a:solidFill>
            <a:ln>
              <a:noFill/>
            </a:ln>
            <a:effectLst/>
          </c:spPr>
          <c:invertIfNegative val="0"/>
          <c:cat>
            <c:strRef>
              <c:f>'Reasons for MF by Returns'!$A$5:$A$8</c:f>
              <c:strCache>
                <c:ptCount val="3"/>
                <c:pt idx="0">
                  <c:v>10%-20%</c:v>
                </c:pt>
                <c:pt idx="1">
                  <c:v>20%-30%</c:v>
                </c:pt>
                <c:pt idx="2">
                  <c:v>30%-40%</c:v>
                </c:pt>
              </c:strCache>
            </c:strRef>
          </c:cat>
          <c:val>
            <c:numRef>
              <c:f>'Reasons for MF by Returns'!$B$5:$B$8</c:f>
              <c:numCache>
                <c:formatCode>General</c:formatCode>
                <c:ptCount val="3"/>
                <c:pt idx="1">
                  <c:v>22</c:v>
                </c:pt>
                <c:pt idx="2">
                  <c:v>2</c:v>
                </c:pt>
              </c:numCache>
            </c:numRef>
          </c:val>
          <c:extLst>
            <c:ext xmlns:c16="http://schemas.microsoft.com/office/drawing/2014/chart" uri="{C3380CC4-5D6E-409C-BE32-E72D297353CC}">
              <c16:uniqueId val="{00000000-C04A-4F21-937F-788758956D89}"/>
            </c:ext>
          </c:extLst>
        </c:ser>
        <c:ser>
          <c:idx val="1"/>
          <c:order val="1"/>
          <c:tx>
            <c:strRef>
              <c:f>'Reasons for MF by Returns'!$C$3:$C$4</c:f>
              <c:strCache>
                <c:ptCount val="1"/>
                <c:pt idx="0">
                  <c:v>Fund Diversification</c:v>
                </c:pt>
              </c:strCache>
            </c:strRef>
          </c:tx>
          <c:spPr>
            <a:solidFill>
              <a:schemeClr val="accent2"/>
            </a:solidFill>
            <a:ln>
              <a:noFill/>
            </a:ln>
            <a:effectLst/>
          </c:spPr>
          <c:invertIfNegative val="0"/>
          <c:cat>
            <c:strRef>
              <c:f>'Reasons for MF by Returns'!$A$5:$A$8</c:f>
              <c:strCache>
                <c:ptCount val="3"/>
                <c:pt idx="0">
                  <c:v>10%-20%</c:v>
                </c:pt>
                <c:pt idx="1">
                  <c:v>20%-30%</c:v>
                </c:pt>
                <c:pt idx="2">
                  <c:v>30%-40%</c:v>
                </c:pt>
              </c:strCache>
            </c:strRef>
          </c:cat>
          <c:val>
            <c:numRef>
              <c:f>'Reasons for MF by Returns'!$C$5:$C$8</c:f>
              <c:numCache>
                <c:formatCode>General</c:formatCode>
                <c:ptCount val="3"/>
                <c:pt idx="0">
                  <c:v>1</c:v>
                </c:pt>
                <c:pt idx="1">
                  <c:v>9</c:v>
                </c:pt>
                <c:pt idx="2">
                  <c:v>3</c:v>
                </c:pt>
              </c:numCache>
            </c:numRef>
          </c:val>
          <c:extLst>
            <c:ext xmlns:c16="http://schemas.microsoft.com/office/drawing/2014/chart" uri="{C3380CC4-5D6E-409C-BE32-E72D297353CC}">
              <c16:uniqueId val="{00000005-C04A-4F21-937F-788758956D89}"/>
            </c:ext>
          </c:extLst>
        </c:ser>
        <c:ser>
          <c:idx val="2"/>
          <c:order val="2"/>
          <c:tx>
            <c:strRef>
              <c:f>'Reasons for MF by Returns'!$D$3:$D$4</c:f>
              <c:strCache>
                <c:ptCount val="1"/>
                <c:pt idx="0">
                  <c:v>Tax Benefits</c:v>
                </c:pt>
              </c:strCache>
            </c:strRef>
          </c:tx>
          <c:spPr>
            <a:solidFill>
              <a:schemeClr val="accent3"/>
            </a:solidFill>
            <a:ln>
              <a:noFill/>
            </a:ln>
            <a:effectLst/>
          </c:spPr>
          <c:invertIfNegative val="0"/>
          <c:cat>
            <c:strRef>
              <c:f>'Reasons for MF by Returns'!$A$5:$A$8</c:f>
              <c:strCache>
                <c:ptCount val="3"/>
                <c:pt idx="0">
                  <c:v>10%-20%</c:v>
                </c:pt>
                <c:pt idx="1">
                  <c:v>20%-30%</c:v>
                </c:pt>
                <c:pt idx="2">
                  <c:v>30%-40%</c:v>
                </c:pt>
              </c:strCache>
            </c:strRef>
          </c:cat>
          <c:val>
            <c:numRef>
              <c:f>'Reasons for MF by Returns'!$D$5:$D$8</c:f>
              <c:numCache>
                <c:formatCode>General</c:formatCode>
                <c:ptCount val="3"/>
                <c:pt idx="0">
                  <c:v>2</c:v>
                </c:pt>
                <c:pt idx="1">
                  <c:v>1</c:v>
                </c:pt>
              </c:numCache>
            </c:numRef>
          </c:val>
          <c:extLst>
            <c:ext xmlns:c16="http://schemas.microsoft.com/office/drawing/2014/chart" uri="{C3380CC4-5D6E-409C-BE32-E72D297353CC}">
              <c16:uniqueId val="{00000006-C04A-4F21-937F-788758956D89}"/>
            </c:ext>
          </c:extLst>
        </c:ser>
        <c:dLbls>
          <c:showLegendKey val="0"/>
          <c:showVal val="0"/>
          <c:showCatName val="0"/>
          <c:showSerName val="0"/>
          <c:showPercent val="0"/>
          <c:showBubbleSize val="0"/>
        </c:dLbls>
        <c:gapWidth val="182"/>
        <c:axId val="2044692720"/>
        <c:axId val="2044682320"/>
      </c:barChart>
      <c:catAx>
        <c:axId val="204469272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4682320"/>
        <c:crosses val="autoZero"/>
        <c:auto val="1"/>
        <c:lblAlgn val="ctr"/>
        <c:lblOffset val="100"/>
        <c:noMultiLvlLbl val="0"/>
      </c:catAx>
      <c:valAx>
        <c:axId val="2044682320"/>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469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 Investment Avenue by Gender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Preferred Investment Avenue by Gender</a:t>
            </a:r>
          </a:p>
        </c:rich>
      </c:tx>
      <c:layout>
        <c:manualLayout>
          <c:xMode val="edge"/>
          <c:yMode val="edge"/>
          <c:x val="0.16973563169627154"/>
          <c:y val="2.74914089347079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Investment Avenue by Gender '!$B$3:$B$4</c:f>
              <c:strCache>
                <c:ptCount val="1"/>
                <c:pt idx="0">
                  <c:v>Female</c:v>
                </c:pt>
              </c:strCache>
            </c:strRef>
          </c:tx>
          <c:spPr>
            <a:solidFill>
              <a:schemeClr val="accent1"/>
            </a:solidFill>
            <a:ln>
              <a:noFill/>
            </a:ln>
            <a:effectLst/>
          </c:spPr>
          <c:invertIfNegative val="0"/>
          <c:cat>
            <c:strRef>
              <c:f>' Investment Avenue by Gender '!$A$5:$A$9</c:f>
              <c:strCache>
                <c:ptCount val="4"/>
                <c:pt idx="0">
                  <c:v>Equity</c:v>
                </c:pt>
                <c:pt idx="1">
                  <c:v>Fixed Deposits</c:v>
                </c:pt>
                <c:pt idx="2">
                  <c:v>Mutual Fund</c:v>
                </c:pt>
                <c:pt idx="3">
                  <c:v>Public Provident Fund</c:v>
                </c:pt>
              </c:strCache>
            </c:strRef>
          </c:cat>
          <c:val>
            <c:numRef>
              <c:f>' Investment Avenue by Gender '!$B$5:$B$9</c:f>
              <c:numCache>
                <c:formatCode>General</c:formatCode>
                <c:ptCount val="4"/>
                <c:pt idx="0">
                  <c:v>3</c:v>
                </c:pt>
                <c:pt idx="1">
                  <c:v>3</c:v>
                </c:pt>
                <c:pt idx="2">
                  <c:v>8</c:v>
                </c:pt>
                <c:pt idx="3">
                  <c:v>1</c:v>
                </c:pt>
              </c:numCache>
            </c:numRef>
          </c:val>
          <c:extLst>
            <c:ext xmlns:c16="http://schemas.microsoft.com/office/drawing/2014/chart" uri="{C3380CC4-5D6E-409C-BE32-E72D297353CC}">
              <c16:uniqueId val="{00000000-83B1-4F33-9B00-BAAB2F58E124}"/>
            </c:ext>
          </c:extLst>
        </c:ser>
        <c:ser>
          <c:idx val="1"/>
          <c:order val="1"/>
          <c:tx>
            <c:strRef>
              <c:f>' Investment Avenue by Gender '!$C$3:$C$4</c:f>
              <c:strCache>
                <c:ptCount val="1"/>
                <c:pt idx="0">
                  <c:v>Male</c:v>
                </c:pt>
              </c:strCache>
            </c:strRef>
          </c:tx>
          <c:spPr>
            <a:solidFill>
              <a:schemeClr val="accent2"/>
            </a:solidFill>
            <a:ln>
              <a:noFill/>
            </a:ln>
            <a:effectLst/>
          </c:spPr>
          <c:invertIfNegative val="0"/>
          <c:cat>
            <c:strRef>
              <c:f>' Investment Avenue by Gender '!$A$5:$A$9</c:f>
              <c:strCache>
                <c:ptCount val="4"/>
                <c:pt idx="0">
                  <c:v>Equity</c:v>
                </c:pt>
                <c:pt idx="1">
                  <c:v>Fixed Deposits</c:v>
                </c:pt>
                <c:pt idx="2">
                  <c:v>Mutual Fund</c:v>
                </c:pt>
                <c:pt idx="3">
                  <c:v>Public Provident Fund</c:v>
                </c:pt>
              </c:strCache>
            </c:strRef>
          </c:cat>
          <c:val>
            <c:numRef>
              <c:f>' Investment Avenue by Gender '!$C$5:$C$9</c:f>
              <c:numCache>
                <c:formatCode>General</c:formatCode>
                <c:ptCount val="4"/>
                <c:pt idx="0">
                  <c:v>7</c:v>
                </c:pt>
                <c:pt idx="1">
                  <c:v>6</c:v>
                </c:pt>
                <c:pt idx="2">
                  <c:v>10</c:v>
                </c:pt>
                <c:pt idx="3">
                  <c:v>2</c:v>
                </c:pt>
              </c:numCache>
            </c:numRef>
          </c:val>
          <c:extLst>
            <c:ext xmlns:c16="http://schemas.microsoft.com/office/drawing/2014/chart" uri="{C3380CC4-5D6E-409C-BE32-E72D297353CC}">
              <c16:uniqueId val="{00000004-83B1-4F33-9B00-BAAB2F58E124}"/>
            </c:ext>
          </c:extLst>
        </c:ser>
        <c:dLbls>
          <c:showLegendKey val="0"/>
          <c:showVal val="0"/>
          <c:showCatName val="0"/>
          <c:showSerName val="0"/>
          <c:showPercent val="0"/>
          <c:showBubbleSize val="0"/>
        </c:dLbls>
        <c:gapWidth val="219"/>
        <c:overlap val="-27"/>
        <c:axId val="1928546816"/>
        <c:axId val="1928547232"/>
      </c:barChart>
      <c:catAx>
        <c:axId val="1928546816"/>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8547232"/>
        <c:crosses val="autoZero"/>
        <c:auto val="1"/>
        <c:lblAlgn val="ctr"/>
        <c:lblOffset val="100"/>
        <c:noMultiLvlLbl val="0"/>
      </c:catAx>
      <c:valAx>
        <c:axId val="1928547232"/>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854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Data.xlsx]Preferences by Age Group!PivotTable3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Investment Participation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'Preferences by Age Group'!$B$3</c:f>
              <c:strCache>
                <c:ptCount val="1"/>
                <c:pt idx="0">
                  <c:v>Total</c:v>
                </c:pt>
              </c:strCache>
            </c:strRef>
          </c:tx>
          <c:spPr>
            <a:solidFill>
              <a:schemeClr val="accent1"/>
            </a:solidFill>
            <a:ln>
              <a:noFill/>
            </a:ln>
            <a:effectLst/>
          </c:spPr>
          <c:invertIfNegative val="0"/>
          <c:cat>
            <c:strRef>
              <c:f>'Preferences by Age Group'!$A$4:$A$7</c:f>
              <c:strCache>
                <c:ptCount val="3"/>
                <c:pt idx="0">
                  <c:v>Early Adulthood</c:v>
                </c:pt>
                <c:pt idx="1">
                  <c:v>Established Adulthood</c:v>
                </c:pt>
                <c:pt idx="2">
                  <c:v>Experienced Adulthood</c:v>
                </c:pt>
              </c:strCache>
            </c:strRef>
          </c:cat>
          <c:val>
            <c:numRef>
              <c:f>'Preferences by Age Group'!$B$4:$B$7</c:f>
              <c:numCache>
                <c:formatCode>General</c:formatCode>
                <c:ptCount val="3"/>
                <c:pt idx="0">
                  <c:v>10</c:v>
                </c:pt>
                <c:pt idx="1">
                  <c:v>21</c:v>
                </c:pt>
                <c:pt idx="2">
                  <c:v>9</c:v>
                </c:pt>
              </c:numCache>
            </c:numRef>
          </c:val>
          <c:extLst>
            <c:ext xmlns:c16="http://schemas.microsoft.com/office/drawing/2014/chart" uri="{C3380CC4-5D6E-409C-BE32-E72D297353CC}">
              <c16:uniqueId val="{00000000-3455-4E23-8AC2-B27F5CC3BF43}"/>
            </c:ext>
          </c:extLst>
        </c:ser>
        <c:dLbls>
          <c:showLegendKey val="0"/>
          <c:showVal val="0"/>
          <c:showCatName val="0"/>
          <c:showSerName val="0"/>
          <c:showPercent val="0"/>
          <c:showBubbleSize val="0"/>
        </c:dLbls>
        <c:gapWidth val="219"/>
        <c:overlap val="-27"/>
        <c:axId val="10991808"/>
        <c:axId val="10993056"/>
      </c:barChart>
      <c:catAx>
        <c:axId val="10991808"/>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93056"/>
        <c:crosses val="autoZero"/>
        <c:auto val="1"/>
        <c:lblAlgn val="ctr"/>
        <c:lblOffset val="100"/>
        <c:noMultiLvlLbl val="0"/>
      </c:catAx>
      <c:valAx>
        <c:axId val="10993056"/>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9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Data.xlsx]Factors Influencing Decisions!PivotTable4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Investment Decision Factors Across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'Factors Influencing Decisions'!$B$3:$B$4</c:f>
              <c:strCache>
                <c:ptCount val="1"/>
                <c:pt idx="0">
                  <c:v>Locking Period</c:v>
                </c:pt>
              </c:strCache>
            </c:strRef>
          </c:tx>
          <c:spPr>
            <a:solidFill>
              <a:schemeClr val="accent1"/>
            </a:solidFill>
            <a:ln>
              <a:noFill/>
            </a:ln>
            <a:effectLst/>
          </c:spPr>
          <c:invertIfNegative val="0"/>
          <c:cat>
            <c:strRef>
              <c:f>'Factors Influencing Decisions'!$A$5:$A$8</c:f>
              <c:strCache>
                <c:ptCount val="3"/>
                <c:pt idx="0">
                  <c:v>Early Adulthood</c:v>
                </c:pt>
                <c:pt idx="1">
                  <c:v>Established Adulthood</c:v>
                </c:pt>
                <c:pt idx="2">
                  <c:v>Experienced Adulthood</c:v>
                </c:pt>
              </c:strCache>
            </c:strRef>
          </c:cat>
          <c:val>
            <c:numRef>
              <c:f>'Factors Influencing Decisions'!$B$5:$B$8</c:f>
              <c:numCache>
                <c:formatCode>General</c:formatCode>
                <c:ptCount val="3"/>
                <c:pt idx="0">
                  <c:v>1</c:v>
                </c:pt>
              </c:numCache>
            </c:numRef>
          </c:val>
          <c:extLst>
            <c:ext xmlns:c16="http://schemas.microsoft.com/office/drawing/2014/chart" uri="{C3380CC4-5D6E-409C-BE32-E72D297353CC}">
              <c16:uniqueId val="{00000000-6F39-4D2A-96BB-2DF15C1C1A9A}"/>
            </c:ext>
          </c:extLst>
        </c:ser>
        <c:ser>
          <c:idx val="1"/>
          <c:order val="1"/>
          <c:tx>
            <c:strRef>
              <c:f>'Factors Influencing Decisions'!$C$3:$C$4</c:f>
              <c:strCache>
                <c:ptCount val="1"/>
                <c:pt idx="0">
                  <c:v>Returns</c:v>
                </c:pt>
              </c:strCache>
            </c:strRef>
          </c:tx>
          <c:spPr>
            <a:solidFill>
              <a:schemeClr val="accent2"/>
            </a:solidFill>
            <a:ln>
              <a:noFill/>
            </a:ln>
            <a:effectLst/>
          </c:spPr>
          <c:invertIfNegative val="0"/>
          <c:cat>
            <c:strRef>
              <c:f>'Factors Influencing Decisions'!$A$5:$A$8</c:f>
              <c:strCache>
                <c:ptCount val="3"/>
                <c:pt idx="0">
                  <c:v>Early Adulthood</c:v>
                </c:pt>
                <c:pt idx="1">
                  <c:v>Established Adulthood</c:v>
                </c:pt>
                <c:pt idx="2">
                  <c:v>Experienced Adulthood</c:v>
                </c:pt>
              </c:strCache>
            </c:strRef>
          </c:cat>
          <c:val>
            <c:numRef>
              <c:f>'Factors Influencing Decisions'!$C$5:$C$8</c:f>
              <c:numCache>
                <c:formatCode>General</c:formatCode>
                <c:ptCount val="3"/>
                <c:pt idx="0">
                  <c:v>4</c:v>
                </c:pt>
                <c:pt idx="1">
                  <c:v>16</c:v>
                </c:pt>
                <c:pt idx="2">
                  <c:v>5</c:v>
                </c:pt>
              </c:numCache>
            </c:numRef>
          </c:val>
          <c:extLst>
            <c:ext xmlns:c16="http://schemas.microsoft.com/office/drawing/2014/chart" uri="{C3380CC4-5D6E-409C-BE32-E72D297353CC}">
              <c16:uniqueId val="{00000004-6F39-4D2A-96BB-2DF15C1C1A9A}"/>
            </c:ext>
          </c:extLst>
        </c:ser>
        <c:ser>
          <c:idx val="2"/>
          <c:order val="2"/>
          <c:tx>
            <c:strRef>
              <c:f>'Factors Influencing Decisions'!$D$3:$D$4</c:f>
              <c:strCache>
                <c:ptCount val="1"/>
                <c:pt idx="0">
                  <c:v>Risk</c:v>
                </c:pt>
              </c:strCache>
            </c:strRef>
          </c:tx>
          <c:spPr>
            <a:solidFill>
              <a:schemeClr val="accent3"/>
            </a:solidFill>
            <a:ln>
              <a:noFill/>
            </a:ln>
            <a:effectLst/>
          </c:spPr>
          <c:invertIfNegative val="0"/>
          <c:cat>
            <c:strRef>
              <c:f>'Factors Influencing Decisions'!$A$5:$A$8</c:f>
              <c:strCache>
                <c:ptCount val="3"/>
                <c:pt idx="0">
                  <c:v>Early Adulthood</c:v>
                </c:pt>
                <c:pt idx="1">
                  <c:v>Established Adulthood</c:v>
                </c:pt>
                <c:pt idx="2">
                  <c:v>Experienced Adulthood</c:v>
                </c:pt>
              </c:strCache>
            </c:strRef>
          </c:cat>
          <c:val>
            <c:numRef>
              <c:f>'Factors Influencing Decisions'!$D$5:$D$8</c:f>
              <c:numCache>
                <c:formatCode>General</c:formatCode>
                <c:ptCount val="3"/>
                <c:pt idx="0">
                  <c:v>5</c:v>
                </c:pt>
                <c:pt idx="1">
                  <c:v>5</c:v>
                </c:pt>
                <c:pt idx="2">
                  <c:v>4</c:v>
                </c:pt>
              </c:numCache>
            </c:numRef>
          </c:val>
          <c:extLst>
            <c:ext xmlns:c16="http://schemas.microsoft.com/office/drawing/2014/chart" uri="{C3380CC4-5D6E-409C-BE32-E72D297353CC}">
              <c16:uniqueId val="{00000007-6F39-4D2A-96BB-2DF15C1C1A9A}"/>
            </c:ext>
          </c:extLst>
        </c:ser>
        <c:dLbls>
          <c:showLegendKey val="0"/>
          <c:showVal val="0"/>
          <c:showCatName val="0"/>
          <c:showSerName val="0"/>
          <c:showPercent val="0"/>
          <c:showBubbleSize val="0"/>
        </c:dLbls>
        <c:gapWidth val="150"/>
        <c:overlap val="100"/>
        <c:axId val="109416752"/>
        <c:axId val="109407600"/>
      </c:barChart>
      <c:catAx>
        <c:axId val="109416752"/>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407600"/>
        <c:crosses val="autoZero"/>
        <c:auto val="1"/>
        <c:lblAlgn val="ctr"/>
        <c:lblOffset val="100"/>
        <c:noMultiLvlLbl val="0"/>
      </c:catAx>
      <c:valAx>
        <c:axId val="109407600"/>
        <c:scaling>
          <c:orientation val="minMax"/>
        </c:scaling>
        <c:delete val="0"/>
        <c:axPos val="l"/>
        <c:numFmt formatCode="0%"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416752"/>
        <c:crosses val="autoZero"/>
        <c:crossBetween val="between"/>
      </c:valAx>
      <c:spPr>
        <a:noFill/>
        <a:ln>
          <a:noFill/>
        </a:ln>
        <a:effectLst/>
      </c:spPr>
    </c:plotArea>
    <c:legend>
      <c:legendPos val="r"/>
      <c:overlay val="0"/>
      <c:spPr>
        <a:noFill/>
        <a:ln>
          <a:solidFill>
            <a:schemeClr val="tx1">
              <a:lumMod val="95000"/>
              <a:lumOff val="5000"/>
            </a:schemeClr>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Data.xlsx]Saving Objectives by Investment!PivotTable5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Savings Objectives by Investment Duration</a:t>
            </a:r>
          </a:p>
        </c:rich>
      </c:tx>
      <c:layout>
        <c:manualLayout>
          <c:xMode val="edge"/>
          <c:yMode val="edge"/>
          <c:x val="0.13626491209146802"/>
          <c:y val="1.307189542483660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772300722683638"/>
          <c:y val="0.30183006535947715"/>
          <c:w val="0.5831198360478913"/>
          <c:h val="0.4029519839431836"/>
        </c:manualLayout>
      </c:layout>
      <c:barChart>
        <c:barDir val="col"/>
        <c:grouping val="percentStacked"/>
        <c:varyColors val="0"/>
        <c:ser>
          <c:idx val="0"/>
          <c:order val="0"/>
          <c:tx>
            <c:strRef>
              <c:f>'Saving Objectives by Investment'!$B$3:$B$4</c:f>
              <c:strCache>
                <c:ptCount val="1"/>
                <c:pt idx="0">
                  <c:v>Education</c:v>
                </c:pt>
              </c:strCache>
            </c:strRef>
          </c:tx>
          <c:spPr>
            <a:solidFill>
              <a:schemeClr val="accent1"/>
            </a:solidFill>
            <a:ln>
              <a:noFill/>
            </a:ln>
            <a:effectLst/>
          </c:spPr>
          <c:invertIfNegative val="0"/>
          <c:cat>
            <c:strRef>
              <c:f>'Saving Objectives by Investment'!$A$5:$A$9</c:f>
              <c:strCache>
                <c:ptCount val="4"/>
                <c:pt idx="0">
                  <c:v>1-3 years</c:v>
                </c:pt>
                <c:pt idx="1">
                  <c:v>3-5 years</c:v>
                </c:pt>
                <c:pt idx="2">
                  <c:v>Less than 1 year</c:v>
                </c:pt>
                <c:pt idx="3">
                  <c:v>More than 5 years</c:v>
                </c:pt>
              </c:strCache>
            </c:strRef>
          </c:cat>
          <c:val>
            <c:numRef>
              <c:f>'Saving Objectives by Investment'!$B$5:$B$9</c:f>
              <c:numCache>
                <c:formatCode>General</c:formatCode>
                <c:ptCount val="4"/>
                <c:pt idx="0">
                  <c:v>3</c:v>
                </c:pt>
              </c:numCache>
            </c:numRef>
          </c:val>
          <c:extLst>
            <c:ext xmlns:c16="http://schemas.microsoft.com/office/drawing/2014/chart" uri="{C3380CC4-5D6E-409C-BE32-E72D297353CC}">
              <c16:uniqueId val="{00000000-4FE2-4C96-9F82-CB36A1E53535}"/>
            </c:ext>
          </c:extLst>
        </c:ser>
        <c:ser>
          <c:idx val="1"/>
          <c:order val="1"/>
          <c:tx>
            <c:strRef>
              <c:f>'Saving Objectives by Investment'!$C$3:$C$4</c:f>
              <c:strCache>
                <c:ptCount val="1"/>
                <c:pt idx="0">
                  <c:v>Health Care</c:v>
                </c:pt>
              </c:strCache>
            </c:strRef>
          </c:tx>
          <c:spPr>
            <a:solidFill>
              <a:schemeClr val="accent2"/>
            </a:solidFill>
            <a:ln>
              <a:noFill/>
            </a:ln>
            <a:effectLst/>
          </c:spPr>
          <c:invertIfNegative val="0"/>
          <c:cat>
            <c:strRef>
              <c:f>'Saving Objectives by Investment'!$A$5:$A$9</c:f>
              <c:strCache>
                <c:ptCount val="4"/>
                <c:pt idx="0">
                  <c:v>1-3 years</c:v>
                </c:pt>
                <c:pt idx="1">
                  <c:v>3-5 years</c:v>
                </c:pt>
                <c:pt idx="2">
                  <c:v>Less than 1 year</c:v>
                </c:pt>
                <c:pt idx="3">
                  <c:v>More than 5 years</c:v>
                </c:pt>
              </c:strCache>
            </c:strRef>
          </c:cat>
          <c:val>
            <c:numRef>
              <c:f>'Saving Objectives by Investment'!$C$5:$C$9</c:f>
              <c:numCache>
                <c:formatCode>General</c:formatCode>
                <c:ptCount val="4"/>
                <c:pt idx="0">
                  <c:v>6</c:v>
                </c:pt>
                <c:pt idx="1">
                  <c:v>6</c:v>
                </c:pt>
                <c:pt idx="3">
                  <c:v>1</c:v>
                </c:pt>
              </c:numCache>
            </c:numRef>
          </c:val>
          <c:extLst>
            <c:ext xmlns:c16="http://schemas.microsoft.com/office/drawing/2014/chart" uri="{C3380CC4-5D6E-409C-BE32-E72D297353CC}">
              <c16:uniqueId val="{00000004-4FE2-4C96-9F82-CB36A1E53535}"/>
            </c:ext>
          </c:extLst>
        </c:ser>
        <c:ser>
          <c:idx val="2"/>
          <c:order val="2"/>
          <c:tx>
            <c:strRef>
              <c:f>'Saving Objectives by Investment'!$D$3:$D$4</c:f>
              <c:strCache>
                <c:ptCount val="1"/>
                <c:pt idx="0">
                  <c:v>Retirement Plan</c:v>
                </c:pt>
              </c:strCache>
            </c:strRef>
          </c:tx>
          <c:spPr>
            <a:solidFill>
              <a:schemeClr val="accent3"/>
            </a:solidFill>
            <a:ln>
              <a:noFill/>
            </a:ln>
            <a:effectLst/>
          </c:spPr>
          <c:invertIfNegative val="0"/>
          <c:cat>
            <c:strRef>
              <c:f>'Saving Objectives by Investment'!$A$5:$A$9</c:f>
              <c:strCache>
                <c:ptCount val="4"/>
                <c:pt idx="0">
                  <c:v>1-3 years</c:v>
                </c:pt>
                <c:pt idx="1">
                  <c:v>3-5 years</c:v>
                </c:pt>
                <c:pt idx="2">
                  <c:v>Less than 1 year</c:v>
                </c:pt>
                <c:pt idx="3">
                  <c:v>More than 5 years</c:v>
                </c:pt>
              </c:strCache>
            </c:strRef>
          </c:cat>
          <c:val>
            <c:numRef>
              <c:f>'Saving Objectives by Investment'!$D$5:$D$9</c:f>
              <c:numCache>
                <c:formatCode>General</c:formatCode>
                <c:ptCount val="4"/>
                <c:pt idx="0">
                  <c:v>9</c:v>
                </c:pt>
                <c:pt idx="1">
                  <c:v>13</c:v>
                </c:pt>
                <c:pt idx="2">
                  <c:v>2</c:v>
                </c:pt>
              </c:numCache>
            </c:numRef>
          </c:val>
          <c:extLst>
            <c:ext xmlns:c16="http://schemas.microsoft.com/office/drawing/2014/chart" uri="{C3380CC4-5D6E-409C-BE32-E72D297353CC}">
              <c16:uniqueId val="{00000007-4FE2-4C96-9F82-CB36A1E53535}"/>
            </c:ext>
          </c:extLst>
        </c:ser>
        <c:dLbls>
          <c:showLegendKey val="0"/>
          <c:showVal val="0"/>
          <c:showCatName val="0"/>
          <c:showSerName val="0"/>
          <c:showPercent val="0"/>
          <c:showBubbleSize val="0"/>
        </c:dLbls>
        <c:gapWidth val="150"/>
        <c:overlap val="100"/>
        <c:axId val="109416752"/>
        <c:axId val="109407600"/>
      </c:barChart>
      <c:catAx>
        <c:axId val="109416752"/>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407600"/>
        <c:crosses val="autoZero"/>
        <c:auto val="1"/>
        <c:lblAlgn val="ctr"/>
        <c:lblOffset val="100"/>
        <c:noMultiLvlLbl val="0"/>
      </c:catAx>
      <c:valAx>
        <c:axId val="109407600"/>
        <c:scaling>
          <c:orientation val="minMax"/>
        </c:scaling>
        <c:delete val="0"/>
        <c:axPos val="l"/>
        <c:numFmt formatCode="0%"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416752"/>
        <c:crosses val="autoZero"/>
        <c:crossBetween val="between"/>
      </c:valAx>
      <c:spPr>
        <a:noFill/>
        <a:ln>
          <a:noFill/>
        </a:ln>
      </c:spPr>
    </c:plotArea>
    <c:legend>
      <c:legendPos val="r"/>
      <c:layout>
        <c:manualLayout>
          <c:xMode val="edge"/>
          <c:yMode val="edge"/>
          <c:x val="0.7327606514939059"/>
          <c:y val="0.42338119499768417"/>
          <c:w val="0.24532154028691619"/>
          <c:h val="0.46160362307652719"/>
        </c:manualLayout>
      </c:layout>
      <c:overlay val="0"/>
      <c:spPr>
        <a:noFill/>
        <a:ln>
          <a:solidFill>
            <a:schemeClr val="tx1">
              <a:lumMod val="95000"/>
              <a:lumOff val="5000"/>
            </a:schemeClr>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Data.xlsx]Reasons for MF by Returns!PivotTable6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1"/>
              <a:t>Reasons for Mutual Fund Investment by Expected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'Reasons for MF by Returns'!$B$3:$B$4</c:f>
              <c:strCache>
                <c:ptCount val="1"/>
                <c:pt idx="0">
                  <c:v>Better Returns</c:v>
                </c:pt>
              </c:strCache>
            </c:strRef>
          </c:tx>
          <c:spPr>
            <a:solidFill>
              <a:schemeClr val="accent1"/>
            </a:solidFill>
            <a:ln>
              <a:noFill/>
            </a:ln>
            <a:effectLst/>
          </c:spPr>
          <c:invertIfNegative val="0"/>
          <c:cat>
            <c:strRef>
              <c:f>'Reasons for MF by Returns'!$A$5:$A$8</c:f>
              <c:strCache>
                <c:ptCount val="3"/>
                <c:pt idx="0">
                  <c:v>10%-20%</c:v>
                </c:pt>
                <c:pt idx="1">
                  <c:v>20%-30%</c:v>
                </c:pt>
                <c:pt idx="2">
                  <c:v>30%-40%</c:v>
                </c:pt>
              </c:strCache>
            </c:strRef>
          </c:cat>
          <c:val>
            <c:numRef>
              <c:f>'Reasons for MF by Returns'!$B$5:$B$8</c:f>
              <c:numCache>
                <c:formatCode>General</c:formatCode>
                <c:ptCount val="3"/>
                <c:pt idx="1">
                  <c:v>22</c:v>
                </c:pt>
                <c:pt idx="2">
                  <c:v>2</c:v>
                </c:pt>
              </c:numCache>
            </c:numRef>
          </c:val>
          <c:extLst>
            <c:ext xmlns:c16="http://schemas.microsoft.com/office/drawing/2014/chart" uri="{C3380CC4-5D6E-409C-BE32-E72D297353CC}">
              <c16:uniqueId val="{00000000-BEDF-42D8-963C-ED6E6F7051E4}"/>
            </c:ext>
          </c:extLst>
        </c:ser>
        <c:ser>
          <c:idx val="1"/>
          <c:order val="1"/>
          <c:tx>
            <c:strRef>
              <c:f>'Reasons for MF by Returns'!$C$3:$C$4</c:f>
              <c:strCache>
                <c:ptCount val="1"/>
                <c:pt idx="0">
                  <c:v>Fund Diversification</c:v>
                </c:pt>
              </c:strCache>
            </c:strRef>
          </c:tx>
          <c:spPr>
            <a:solidFill>
              <a:schemeClr val="accent2"/>
            </a:solidFill>
            <a:ln>
              <a:noFill/>
            </a:ln>
            <a:effectLst/>
          </c:spPr>
          <c:invertIfNegative val="0"/>
          <c:cat>
            <c:strRef>
              <c:f>'Reasons for MF by Returns'!$A$5:$A$8</c:f>
              <c:strCache>
                <c:ptCount val="3"/>
                <c:pt idx="0">
                  <c:v>10%-20%</c:v>
                </c:pt>
                <c:pt idx="1">
                  <c:v>20%-30%</c:v>
                </c:pt>
                <c:pt idx="2">
                  <c:v>30%-40%</c:v>
                </c:pt>
              </c:strCache>
            </c:strRef>
          </c:cat>
          <c:val>
            <c:numRef>
              <c:f>'Reasons for MF by Returns'!$C$5:$C$8</c:f>
              <c:numCache>
                <c:formatCode>General</c:formatCode>
                <c:ptCount val="3"/>
                <c:pt idx="0">
                  <c:v>1</c:v>
                </c:pt>
                <c:pt idx="1">
                  <c:v>9</c:v>
                </c:pt>
                <c:pt idx="2">
                  <c:v>3</c:v>
                </c:pt>
              </c:numCache>
            </c:numRef>
          </c:val>
          <c:extLst>
            <c:ext xmlns:c16="http://schemas.microsoft.com/office/drawing/2014/chart" uri="{C3380CC4-5D6E-409C-BE32-E72D297353CC}">
              <c16:uniqueId val="{00000005-BEDF-42D8-963C-ED6E6F7051E4}"/>
            </c:ext>
          </c:extLst>
        </c:ser>
        <c:ser>
          <c:idx val="2"/>
          <c:order val="2"/>
          <c:tx>
            <c:strRef>
              <c:f>'Reasons for MF by Returns'!$D$3:$D$4</c:f>
              <c:strCache>
                <c:ptCount val="1"/>
                <c:pt idx="0">
                  <c:v>Tax Benefits</c:v>
                </c:pt>
              </c:strCache>
            </c:strRef>
          </c:tx>
          <c:spPr>
            <a:solidFill>
              <a:schemeClr val="accent3"/>
            </a:solidFill>
            <a:ln>
              <a:noFill/>
            </a:ln>
            <a:effectLst/>
          </c:spPr>
          <c:invertIfNegative val="0"/>
          <c:cat>
            <c:strRef>
              <c:f>'Reasons for MF by Returns'!$A$5:$A$8</c:f>
              <c:strCache>
                <c:ptCount val="3"/>
                <c:pt idx="0">
                  <c:v>10%-20%</c:v>
                </c:pt>
                <c:pt idx="1">
                  <c:v>20%-30%</c:v>
                </c:pt>
                <c:pt idx="2">
                  <c:v>30%-40%</c:v>
                </c:pt>
              </c:strCache>
            </c:strRef>
          </c:cat>
          <c:val>
            <c:numRef>
              <c:f>'Reasons for MF by Returns'!$D$5:$D$8</c:f>
              <c:numCache>
                <c:formatCode>General</c:formatCode>
                <c:ptCount val="3"/>
                <c:pt idx="0">
                  <c:v>2</c:v>
                </c:pt>
                <c:pt idx="1">
                  <c:v>1</c:v>
                </c:pt>
              </c:numCache>
            </c:numRef>
          </c:val>
          <c:extLst>
            <c:ext xmlns:c16="http://schemas.microsoft.com/office/drawing/2014/chart" uri="{C3380CC4-5D6E-409C-BE32-E72D297353CC}">
              <c16:uniqueId val="{00000006-BEDF-42D8-963C-ED6E6F7051E4}"/>
            </c:ext>
          </c:extLst>
        </c:ser>
        <c:dLbls>
          <c:showLegendKey val="0"/>
          <c:showVal val="0"/>
          <c:showCatName val="0"/>
          <c:showSerName val="0"/>
          <c:showPercent val="0"/>
          <c:showBubbleSize val="0"/>
        </c:dLbls>
        <c:gapWidth val="182"/>
        <c:axId val="2044692720"/>
        <c:axId val="2044682320"/>
      </c:barChart>
      <c:catAx>
        <c:axId val="204469272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4682320"/>
        <c:crosses val="autoZero"/>
        <c:auto val="1"/>
        <c:lblAlgn val="ctr"/>
        <c:lblOffset val="100"/>
        <c:noMultiLvlLbl val="0"/>
      </c:catAx>
      <c:valAx>
        <c:axId val="2044682320"/>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469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138113</xdr:colOff>
      <xdr:row>3</xdr:row>
      <xdr:rowOff>152400</xdr:rowOff>
    </xdr:from>
    <xdr:to>
      <xdr:col>9</xdr:col>
      <xdr:colOff>571501</xdr:colOff>
      <xdr:row>15</xdr:row>
      <xdr:rowOff>142875</xdr:rowOff>
    </xdr:to>
    <xdr:graphicFrame macro="">
      <xdr:nvGraphicFramePr>
        <xdr:cNvPr id="2" name="Chart 1">
          <a:extLst>
            <a:ext uri="{FF2B5EF4-FFF2-40B4-BE49-F238E27FC236}">
              <a16:creationId xmlns:a16="http://schemas.microsoft.com/office/drawing/2014/main" id="{DDE89DA3-EBC8-494F-BC0F-BC45FEF58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300037</xdr:colOff>
      <xdr:row>6</xdr:row>
      <xdr:rowOff>76199</xdr:rowOff>
    </xdr:from>
    <xdr:to>
      <xdr:col>8</xdr:col>
      <xdr:colOff>514350</xdr:colOff>
      <xdr:row>18</xdr:row>
      <xdr:rowOff>161924</xdr:rowOff>
    </xdr:to>
    <xdr:graphicFrame macro="">
      <xdr:nvGraphicFramePr>
        <xdr:cNvPr id="2" name="Chart 1">
          <a:extLst>
            <a:ext uri="{FF2B5EF4-FFF2-40B4-BE49-F238E27FC236}">
              <a16:creationId xmlns:a16="http://schemas.microsoft.com/office/drawing/2014/main" id="{0BBAF7A0-EB68-43B4-A619-B34400C5B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71437</xdr:colOff>
      <xdr:row>4</xdr:row>
      <xdr:rowOff>28575</xdr:rowOff>
    </xdr:from>
    <xdr:to>
      <xdr:col>11</xdr:col>
      <xdr:colOff>76200</xdr:colOff>
      <xdr:row>17</xdr:row>
      <xdr:rowOff>38100</xdr:rowOff>
    </xdr:to>
    <xdr:graphicFrame macro="">
      <xdr:nvGraphicFramePr>
        <xdr:cNvPr id="2" name="Chart 1">
          <a:extLst>
            <a:ext uri="{FF2B5EF4-FFF2-40B4-BE49-F238E27FC236}">
              <a16:creationId xmlns:a16="http://schemas.microsoft.com/office/drawing/2014/main" id="{0B0FCD09-5501-4CC1-93C4-5A52446A8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881062</xdr:colOff>
      <xdr:row>9</xdr:row>
      <xdr:rowOff>152400</xdr:rowOff>
    </xdr:from>
    <xdr:to>
      <xdr:col>6</xdr:col>
      <xdr:colOff>161925</xdr:colOff>
      <xdr:row>23</xdr:row>
      <xdr:rowOff>133350</xdr:rowOff>
    </xdr:to>
    <xdr:graphicFrame macro="">
      <xdr:nvGraphicFramePr>
        <xdr:cNvPr id="2" name="Chart 1">
          <a:extLst>
            <a:ext uri="{FF2B5EF4-FFF2-40B4-BE49-F238E27FC236}">
              <a16:creationId xmlns:a16="http://schemas.microsoft.com/office/drawing/2014/main" id="{277F0BB8-86C8-42EA-BE4C-93B658B91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147637</xdr:colOff>
      <xdr:row>9</xdr:row>
      <xdr:rowOff>47625</xdr:rowOff>
    </xdr:from>
    <xdr:to>
      <xdr:col>8</xdr:col>
      <xdr:colOff>304800</xdr:colOff>
      <xdr:row>21</xdr:row>
      <xdr:rowOff>19050</xdr:rowOff>
    </xdr:to>
    <xdr:graphicFrame macro="">
      <xdr:nvGraphicFramePr>
        <xdr:cNvPr id="2" name="Chart 1">
          <a:extLst>
            <a:ext uri="{FF2B5EF4-FFF2-40B4-BE49-F238E27FC236}">
              <a16:creationId xmlns:a16="http://schemas.microsoft.com/office/drawing/2014/main" id="{847348CD-C697-4D9C-AAE2-7DFCB8DDA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533400</xdr:colOff>
      <xdr:row>9</xdr:row>
      <xdr:rowOff>171450</xdr:rowOff>
    </xdr:from>
    <xdr:to>
      <xdr:col>6</xdr:col>
      <xdr:colOff>304800</xdr:colOff>
      <xdr:row>14</xdr:row>
      <xdr:rowOff>171450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CE27AE84-26C8-47C4-8B8C-B92322A7C0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362325" y="1800225"/>
              <a:ext cx="1828800" cy="904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447675</xdr:colOff>
      <xdr:row>8</xdr:row>
      <xdr:rowOff>142875</xdr:rowOff>
    </xdr:from>
    <xdr:to>
      <xdr:col>8</xdr:col>
      <xdr:colOff>152400</xdr:colOff>
      <xdr:row>16</xdr:row>
      <xdr:rowOff>114300</xdr:rowOff>
    </xdr:to>
    <mc:AlternateContent xmlns:mc="http://schemas.openxmlformats.org/markup-compatibility/2006">
      <mc:Choice xmlns:a14="http://schemas.microsoft.com/office/drawing/2010/main" Requires="a14">
        <xdr:graphicFrame macro="">
          <xdr:nvGraphicFramePr>
            <xdr:cNvPr id="3" name="Duration">
              <a:extLst>
                <a:ext uri="{FF2B5EF4-FFF2-40B4-BE49-F238E27FC236}">
                  <a16:creationId xmlns:a16="http://schemas.microsoft.com/office/drawing/2014/main" id="{A4BD59DE-0500-4C9E-8E95-50FBB5CCEE44}"/>
                </a:ext>
              </a:extLst>
            </xdr:cNvPr>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dr:sp macro="" textlink="">
          <xdr:nvSpPr>
            <xdr:cNvPr id="0" name=""/>
            <xdr:cNvSpPr>
              <a:spLocks noTextEdit="1"/>
            </xdr:cNvSpPr>
          </xdr:nvSpPr>
          <xdr:spPr>
            <a:xfrm>
              <a:off x="5334000" y="1590675"/>
              <a:ext cx="1828800" cy="1419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323850</xdr:colOff>
      <xdr:row>3</xdr:row>
      <xdr:rowOff>47625</xdr:rowOff>
    </xdr:from>
    <xdr:to>
      <xdr:col>11</xdr:col>
      <xdr:colOff>95250</xdr:colOff>
      <xdr:row>9</xdr:row>
      <xdr:rowOff>152400</xdr:rowOff>
    </xdr:to>
    <mc:AlternateContent xmlns:mc="http://schemas.openxmlformats.org/markup-compatibility/2006">
      <mc:Choice xmlns:a14="http://schemas.microsoft.com/office/drawing/2010/main" Requires="a14">
        <xdr:graphicFrame macro="">
          <xdr:nvGraphicFramePr>
            <xdr:cNvPr id="4" name="Age_Group">
              <a:extLst>
                <a:ext uri="{FF2B5EF4-FFF2-40B4-BE49-F238E27FC236}">
                  <a16:creationId xmlns:a16="http://schemas.microsoft.com/office/drawing/2014/main" id="{3C1CD1CC-F2A6-4BF8-8AE2-0121569FF987}"/>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7334250" y="590550"/>
              <a:ext cx="1828800" cy="1190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142875</xdr:colOff>
      <xdr:row>8</xdr:row>
      <xdr:rowOff>152400</xdr:rowOff>
    </xdr:from>
    <xdr:to>
      <xdr:col>5</xdr:col>
      <xdr:colOff>466725</xdr:colOff>
      <xdr:row>19</xdr:row>
      <xdr:rowOff>104775</xdr:rowOff>
    </xdr:to>
    <xdr:sp macro="" textlink="">
      <xdr:nvSpPr>
        <xdr:cNvPr id="2" name="Rectangle: Top Corners Rounded 1">
          <a:extLst>
            <a:ext uri="{FF2B5EF4-FFF2-40B4-BE49-F238E27FC236}">
              <a16:creationId xmlns:a16="http://schemas.microsoft.com/office/drawing/2014/main" id="{73F3DAF9-359B-4104-B916-35867B093FBD}"/>
            </a:ext>
          </a:extLst>
        </xdr:cNvPr>
        <xdr:cNvSpPr/>
      </xdr:nvSpPr>
      <xdr:spPr>
        <a:xfrm>
          <a:off x="142875" y="1600200"/>
          <a:ext cx="3752850" cy="1943100"/>
        </a:xfrm>
        <a:prstGeom prst="round2SameRect">
          <a:avLst>
            <a:gd name="adj1" fmla="val 16667"/>
            <a:gd name="adj2" fmla="val 6468"/>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666750</xdr:colOff>
      <xdr:row>8</xdr:row>
      <xdr:rowOff>152400</xdr:rowOff>
    </xdr:from>
    <xdr:to>
      <xdr:col>11</xdr:col>
      <xdr:colOff>581025</xdr:colOff>
      <xdr:row>19</xdr:row>
      <xdr:rowOff>133349</xdr:rowOff>
    </xdr:to>
    <xdr:sp macro="" textlink="">
      <xdr:nvSpPr>
        <xdr:cNvPr id="3" name="Rectangle: Top Corners Rounded 2">
          <a:extLst>
            <a:ext uri="{FF2B5EF4-FFF2-40B4-BE49-F238E27FC236}">
              <a16:creationId xmlns:a16="http://schemas.microsoft.com/office/drawing/2014/main" id="{998E3E44-B43D-4BEC-AB4C-C0D73A266E4A}"/>
            </a:ext>
          </a:extLst>
        </xdr:cNvPr>
        <xdr:cNvSpPr/>
      </xdr:nvSpPr>
      <xdr:spPr>
        <a:xfrm>
          <a:off x="4095750" y="1600200"/>
          <a:ext cx="4029075" cy="1971674"/>
        </a:xfrm>
        <a:prstGeom prst="round2SameRect">
          <a:avLst>
            <a:gd name="adj1" fmla="val 16667"/>
            <a:gd name="adj2" fmla="val 7246"/>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142875</xdr:colOff>
      <xdr:row>20</xdr:row>
      <xdr:rowOff>38099</xdr:rowOff>
    </xdr:from>
    <xdr:to>
      <xdr:col>5</xdr:col>
      <xdr:colOff>381000</xdr:colOff>
      <xdr:row>31</xdr:row>
      <xdr:rowOff>114299</xdr:rowOff>
    </xdr:to>
    <xdr:sp macro="" textlink="">
      <xdr:nvSpPr>
        <xdr:cNvPr id="5" name="Rectangle: Top Corners Rounded 4">
          <a:extLst>
            <a:ext uri="{FF2B5EF4-FFF2-40B4-BE49-F238E27FC236}">
              <a16:creationId xmlns:a16="http://schemas.microsoft.com/office/drawing/2014/main" id="{E59FA949-9FFC-448E-B981-A1A9DAEDDA4E}"/>
            </a:ext>
          </a:extLst>
        </xdr:cNvPr>
        <xdr:cNvSpPr/>
      </xdr:nvSpPr>
      <xdr:spPr>
        <a:xfrm>
          <a:off x="142875" y="3657599"/>
          <a:ext cx="3667125" cy="2066925"/>
        </a:xfrm>
        <a:prstGeom prst="round2SameRect">
          <a:avLst>
            <a:gd name="adj1" fmla="val 16667"/>
            <a:gd name="adj2" fmla="val 5116"/>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600076</xdr:colOff>
      <xdr:row>20</xdr:row>
      <xdr:rowOff>76200</xdr:rowOff>
    </xdr:from>
    <xdr:to>
      <xdr:col>11</xdr:col>
      <xdr:colOff>600076</xdr:colOff>
      <xdr:row>31</xdr:row>
      <xdr:rowOff>123825</xdr:rowOff>
    </xdr:to>
    <xdr:sp macro="" textlink="">
      <xdr:nvSpPr>
        <xdr:cNvPr id="6" name="Rectangle: Top Corners Rounded 5">
          <a:extLst>
            <a:ext uri="{FF2B5EF4-FFF2-40B4-BE49-F238E27FC236}">
              <a16:creationId xmlns:a16="http://schemas.microsoft.com/office/drawing/2014/main" id="{1B32FF6C-E5C0-4F79-BF36-5083C2CAEC56}"/>
            </a:ext>
          </a:extLst>
        </xdr:cNvPr>
        <xdr:cNvSpPr/>
      </xdr:nvSpPr>
      <xdr:spPr>
        <a:xfrm>
          <a:off x="4029076" y="3695700"/>
          <a:ext cx="4114800" cy="2038350"/>
        </a:xfrm>
        <a:prstGeom prst="round2SameRect">
          <a:avLst>
            <a:gd name="adj1" fmla="val 8686"/>
            <a:gd name="adj2" fmla="val 4225"/>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76200</xdr:colOff>
      <xdr:row>20</xdr:row>
      <xdr:rowOff>76200</xdr:rowOff>
    </xdr:from>
    <xdr:to>
      <xdr:col>17</xdr:col>
      <xdr:colOff>542925</xdr:colOff>
      <xdr:row>31</xdr:row>
      <xdr:rowOff>114300</xdr:rowOff>
    </xdr:to>
    <xdr:sp macro="" textlink="">
      <xdr:nvSpPr>
        <xdr:cNvPr id="7" name="Rectangle: Top Corners Rounded 6">
          <a:extLst>
            <a:ext uri="{FF2B5EF4-FFF2-40B4-BE49-F238E27FC236}">
              <a16:creationId xmlns:a16="http://schemas.microsoft.com/office/drawing/2014/main" id="{D96FC3E7-8543-46E5-9326-EE8673C23AB1}"/>
            </a:ext>
          </a:extLst>
        </xdr:cNvPr>
        <xdr:cNvSpPr/>
      </xdr:nvSpPr>
      <xdr:spPr>
        <a:xfrm>
          <a:off x="8305800" y="3695700"/>
          <a:ext cx="3895725" cy="2028825"/>
        </a:xfrm>
        <a:prstGeom prst="round2SameRect">
          <a:avLst>
            <a:gd name="adj1" fmla="val 16667"/>
            <a:gd name="adj2" fmla="val 4695"/>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276225</xdr:colOff>
      <xdr:row>0</xdr:row>
      <xdr:rowOff>66676</xdr:rowOff>
    </xdr:from>
    <xdr:to>
      <xdr:col>11</xdr:col>
      <xdr:colOff>561975</xdr:colOff>
      <xdr:row>2</xdr:row>
      <xdr:rowOff>95250</xdr:rowOff>
    </xdr:to>
    <xdr:sp macro="" textlink="">
      <xdr:nvSpPr>
        <xdr:cNvPr id="8" name="TextBox 7">
          <a:extLst>
            <a:ext uri="{FF2B5EF4-FFF2-40B4-BE49-F238E27FC236}">
              <a16:creationId xmlns:a16="http://schemas.microsoft.com/office/drawing/2014/main" id="{9CC3FC28-0FC7-4783-A34B-F1D983A1B681}"/>
            </a:ext>
          </a:extLst>
        </xdr:cNvPr>
        <xdr:cNvSpPr txBox="1"/>
      </xdr:nvSpPr>
      <xdr:spPr>
        <a:xfrm>
          <a:off x="3705225" y="66676"/>
          <a:ext cx="4400550"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dk1"/>
              </a:solidFill>
            </a:rPr>
            <a:t>INVESTMENT PREFERENCE DATA</a:t>
          </a:r>
          <a:r>
            <a:rPr lang="en-GB" sz="1800" b="1" baseline="0">
              <a:solidFill>
                <a:schemeClr val="dk1"/>
              </a:solidFill>
            </a:rPr>
            <a:t> - ANALYSIS</a:t>
          </a:r>
          <a:endParaRPr lang="en-GB" sz="1800" b="1">
            <a:solidFill>
              <a:schemeClr val="dk1"/>
            </a:solidFill>
          </a:endParaRPr>
        </a:p>
      </xdr:txBody>
    </xdr:sp>
    <xdr:clientData/>
  </xdr:twoCellAnchor>
  <xdr:twoCellAnchor>
    <xdr:from>
      <xdr:col>0</xdr:col>
      <xdr:colOff>180976</xdr:colOff>
      <xdr:row>8</xdr:row>
      <xdr:rowOff>142874</xdr:rowOff>
    </xdr:from>
    <xdr:to>
      <xdr:col>5</xdr:col>
      <xdr:colOff>476250</xdr:colOff>
      <xdr:row>19</xdr:row>
      <xdr:rowOff>104774</xdr:rowOff>
    </xdr:to>
    <xdr:graphicFrame macro="">
      <xdr:nvGraphicFramePr>
        <xdr:cNvPr id="9" name="Chart 8">
          <a:extLst>
            <a:ext uri="{FF2B5EF4-FFF2-40B4-BE49-F238E27FC236}">
              <a16:creationId xmlns:a16="http://schemas.microsoft.com/office/drawing/2014/main" id="{77B4E257-9E10-448B-BADF-2BA4A5EEC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8</xdr:row>
      <xdr:rowOff>152400</xdr:rowOff>
    </xdr:from>
    <xdr:to>
      <xdr:col>11</xdr:col>
      <xdr:colOff>561975</xdr:colOff>
      <xdr:row>19</xdr:row>
      <xdr:rowOff>123824</xdr:rowOff>
    </xdr:to>
    <xdr:graphicFrame macro="">
      <xdr:nvGraphicFramePr>
        <xdr:cNvPr id="10" name="Chart 9">
          <a:extLst>
            <a:ext uri="{FF2B5EF4-FFF2-40B4-BE49-F238E27FC236}">
              <a16:creationId xmlns:a16="http://schemas.microsoft.com/office/drawing/2014/main" id="{CC70FDD2-A367-43A8-99D0-4BCFC5907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676275</xdr:colOff>
      <xdr:row>20</xdr:row>
      <xdr:rowOff>66675</xdr:rowOff>
    </xdr:from>
    <xdr:to>
      <xdr:col>11</xdr:col>
      <xdr:colOff>533401</xdr:colOff>
      <xdr:row>31</xdr:row>
      <xdr:rowOff>95249</xdr:rowOff>
    </xdr:to>
    <xdr:graphicFrame macro="">
      <xdr:nvGraphicFramePr>
        <xdr:cNvPr id="11" name="Chart 10">
          <a:extLst>
            <a:ext uri="{FF2B5EF4-FFF2-40B4-BE49-F238E27FC236}">
              <a16:creationId xmlns:a16="http://schemas.microsoft.com/office/drawing/2014/main" id="{7FE6FF55-0C45-4C24-9427-F9336F962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180975</xdr:colOff>
      <xdr:row>20</xdr:row>
      <xdr:rowOff>57150</xdr:rowOff>
    </xdr:from>
    <xdr:to>
      <xdr:col>5</xdr:col>
      <xdr:colOff>314325</xdr:colOff>
      <xdr:row>31</xdr:row>
      <xdr:rowOff>85725</xdr:rowOff>
    </xdr:to>
    <xdr:graphicFrame macro="">
      <xdr:nvGraphicFramePr>
        <xdr:cNvPr id="13" name="Chart 12">
          <a:extLst>
            <a:ext uri="{FF2B5EF4-FFF2-40B4-BE49-F238E27FC236}">
              <a16:creationId xmlns:a16="http://schemas.microsoft.com/office/drawing/2014/main" id="{0B1C0CA3-1166-47B0-A950-9ACFFC50A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171451</xdr:colOff>
      <xdr:row>20</xdr:row>
      <xdr:rowOff>133350</xdr:rowOff>
    </xdr:from>
    <xdr:to>
      <xdr:col>17</xdr:col>
      <xdr:colOff>457201</xdr:colOff>
      <xdr:row>31</xdr:row>
      <xdr:rowOff>57149</xdr:rowOff>
    </xdr:to>
    <xdr:graphicFrame macro="">
      <xdr:nvGraphicFramePr>
        <xdr:cNvPr id="14" name="Chart 13">
          <a:extLst>
            <a:ext uri="{FF2B5EF4-FFF2-40B4-BE49-F238E27FC236}">
              <a16:creationId xmlns:a16="http://schemas.microsoft.com/office/drawing/2014/main" id="{3024ECED-7306-49C9-924A-3B3400442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47625</xdr:colOff>
      <xdr:row>3</xdr:row>
      <xdr:rowOff>142875</xdr:rowOff>
    </xdr:from>
    <xdr:to>
      <xdr:col>3</xdr:col>
      <xdr:colOff>123825</xdr:colOff>
      <xdr:row>7</xdr:row>
      <xdr:rowOff>104775</xdr:rowOff>
    </xdr:to>
    <xdr:sp macro="" textlink="'KPI HELPER'!A2">
      <xdr:nvSpPr>
        <xdr:cNvPr id="15" name="Rectangle: Top Corners Rounded 14">
          <a:extLst>
            <a:ext uri="{FF2B5EF4-FFF2-40B4-BE49-F238E27FC236}">
              <a16:creationId xmlns:a16="http://schemas.microsoft.com/office/drawing/2014/main" id="{CF7CD0C5-12EC-4F4C-9762-30810D4D197E}"/>
            </a:ext>
          </a:extLst>
        </xdr:cNvPr>
        <xdr:cNvSpPr/>
      </xdr:nvSpPr>
      <xdr:spPr>
        <a:xfrm>
          <a:off x="47625" y="685800"/>
          <a:ext cx="2133600" cy="685800"/>
        </a:xfrm>
        <a:prstGeom prst="round2SameRect">
          <a:avLst>
            <a:gd name="adj1" fmla="val 16667"/>
            <a:gd name="adj2" fmla="val 7576"/>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1EF1A74-EDC2-401B-8492-DBF0EE0373E1}" type="TxLink">
            <a:rPr lang="en-US" sz="2000" b="1" i="0" u="none" strike="noStrike">
              <a:solidFill>
                <a:srgbClr val="000000"/>
              </a:solidFill>
              <a:latin typeface="Aptos Narrow"/>
            </a:rPr>
            <a:t>40</a:t>
          </a:fld>
          <a:endParaRPr lang="en-GB" sz="2000" b="1"/>
        </a:p>
      </xdr:txBody>
    </xdr:sp>
    <xdr:clientData/>
  </xdr:twoCellAnchor>
  <xdr:twoCellAnchor>
    <xdr:from>
      <xdr:col>3</xdr:col>
      <xdr:colOff>200025</xdr:colOff>
      <xdr:row>3</xdr:row>
      <xdr:rowOff>152400</xdr:rowOff>
    </xdr:from>
    <xdr:to>
      <xdr:col>6</xdr:col>
      <xdr:colOff>381000</xdr:colOff>
      <xdr:row>7</xdr:row>
      <xdr:rowOff>95250</xdr:rowOff>
    </xdr:to>
    <xdr:sp macro="" textlink="'KPI HELPER'!C8">
      <xdr:nvSpPr>
        <xdr:cNvPr id="16" name="Rectangle: Top Corners Rounded 15">
          <a:extLst>
            <a:ext uri="{FF2B5EF4-FFF2-40B4-BE49-F238E27FC236}">
              <a16:creationId xmlns:a16="http://schemas.microsoft.com/office/drawing/2014/main" id="{145D495E-5D32-43CE-9425-78988B432AAA}"/>
            </a:ext>
          </a:extLst>
        </xdr:cNvPr>
        <xdr:cNvSpPr/>
      </xdr:nvSpPr>
      <xdr:spPr>
        <a:xfrm>
          <a:off x="2257425" y="695325"/>
          <a:ext cx="2238375" cy="666750"/>
        </a:xfrm>
        <a:prstGeom prst="round2SameRect">
          <a:avLst>
            <a:gd name="adj1" fmla="val 16667"/>
            <a:gd name="adj2" fmla="val 4545"/>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DD517FC-BFB2-4CFB-AE97-0B5D06AD8203}" type="TxLink">
            <a:rPr lang="en-US" sz="2000" b="1" i="0" u="none" strike="noStrike">
              <a:solidFill>
                <a:srgbClr val="000000"/>
              </a:solidFill>
              <a:latin typeface="Aptos Narrow"/>
            </a:rPr>
            <a:pPr algn="ctr"/>
            <a:t>87.5%</a:t>
          </a:fld>
          <a:endParaRPr lang="en-GB" sz="2000" b="1"/>
        </a:p>
      </xdr:txBody>
    </xdr:sp>
    <xdr:clientData/>
  </xdr:twoCellAnchor>
  <xdr:twoCellAnchor>
    <xdr:from>
      <xdr:col>6</xdr:col>
      <xdr:colOff>457200</xdr:colOff>
      <xdr:row>3</xdr:row>
      <xdr:rowOff>152400</xdr:rowOff>
    </xdr:from>
    <xdr:to>
      <xdr:col>9</xdr:col>
      <xdr:colOff>600075</xdr:colOff>
      <xdr:row>7</xdr:row>
      <xdr:rowOff>95250</xdr:rowOff>
    </xdr:to>
    <xdr:sp macro="" textlink="'KPI HELPER'!G5">
      <xdr:nvSpPr>
        <xdr:cNvPr id="17" name="Rectangle: Top Corners Rounded 16">
          <a:extLst>
            <a:ext uri="{FF2B5EF4-FFF2-40B4-BE49-F238E27FC236}">
              <a16:creationId xmlns:a16="http://schemas.microsoft.com/office/drawing/2014/main" id="{2FFF9647-9691-4961-97A9-A13F151CDFFD}"/>
            </a:ext>
          </a:extLst>
        </xdr:cNvPr>
        <xdr:cNvSpPr/>
      </xdr:nvSpPr>
      <xdr:spPr>
        <a:xfrm>
          <a:off x="4572000" y="695325"/>
          <a:ext cx="2200275" cy="666750"/>
        </a:xfrm>
        <a:prstGeom prst="round2SameRect">
          <a:avLst>
            <a:gd name="adj1" fmla="val 16667"/>
            <a:gd name="adj2" fmla="val 7576"/>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B3ABD6C-AC9C-4471-8BFF-BC1A814B3564}" type="TxLink">
            <a:rPr lang="en-US" sz="2000" b="1" i="0" u="none" strike="noStrike">
              <a:solidFill>
                <a:srgbClr val="000000"/>
              </a:solidFill>
              <a:latin typeface="Aptos Narrow"/>
            </a:rPr>
            <a:pPr algn="ctr"/>
            <a:t>Returns</a:t>
          </a:fld>
          <a:endParaRPr lang="en-GB" sz="2000" b="1"/>
        </a:p>
      </xdr:txBody>
    </xdr:sp>
    <xdr:clientData/>
  </xdr:twoCellAnchor>
  <xdr:twoCellAnchor>
    <xdr:from>
      <xdr:col>9</xdr:col>
      <xdr:colOff>680356</xdr:colOff>
      <xdr:row>3</xdr:row>
      <xdr:rowOff>142875</xdr:rowOff>
    </xdr:from>
    <xdr:to>
      <xdr:col>13</xdr:col>
      <xdr:colOff>571500</xdr:colOff>
      <xdr:row>7</xdr:row>
      <xdr:rowOff>85725</xdr:rowOff>
    </xdr:to>
    <xdr:sp macro="" textlink="'KPI HELPER'!A11">
      <xdr:nvSpPr>
        <xdr:cNvPr id="18" name="Rectangle: Top Corners Rounded 17">
          <a:extLst>
            <a:ext uri="{FF2B5EF4-FFF2-40B4-BE49-F238E27FC236}">
              <a16:creationId xmlns:a16="http://schemas.microsoft.com/office/drawing/2014/main" id="{54AB7DCD-250E-4C60-9C31-C769D7E7ED5F}"/>
            </a:ext>
          </a:extLst>
        </xdr:cNvPr>
        <xdr:cNvSpPr/>
      </xdr:nvSpPr>
      <xdr:spPr>
        <a:xfrm>
          <a:off x="6803570" y="673554"/>
          <a:ext cx="2612573" cy="650421"/>
        </a:xfrm>
        <a:prstGeom prst="round2SameRect">
          <a:avLst>
            <a:gd name="adj1" fmla="val 16667"/>
            <a:gd name="adj2" fmla="val 7143"/>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7E3BB52-425E-4DD8-87D5-A3BA6E2C59C8}" type="TxLink">
            <a:rPr lang="en-US" sz="2000" b="1" i="0" u="none" strike="noStrike">
              <a:solidFill>
                <a:srgbClr val="000000"/>
              </a:solidFill>
              <a:latin typeface="Aptos Narrow"/>
            </a:rPr>
            <a:pPr algn="ctr"/>
            <a:t>Mutual Fund</a:t>
          </a:fld>
          <a:endParaRPr lang="en-GB" sz="2000" b="1"/>
        </a:p>
      </xdr:txBody>
    </xdr:sp>
    <xdr:clientData/>
  </xdr:twoCellAnchor>
  <xdr:twoCellAnchor>
    <xdr:from>
      <xdr:col>0</xdr:col>
      <xdr:colOff>76200</xdr:colOff>
      <xdr:row>5</xdr:row>
      <xdr:rowOff>142875</xdr:rowOff>
    </xdr:from>
    <xdr:to>
      <xdr:col>3</xdr:col>
      <xdr:colOff>76200</xdr:colOff>
      <xdr:row>7</xdr:row>
      <xdr:rowOff>66675</xdr:rowOff>
    </xdr:to>
    <xdr:sp macro="" textlink="">
      <xdr:nvSpPr>
        <xdr:cNvPr id="21" name="TextBox 20">
          <a:extLst>
            <a:ext uri="{FF2B5EF4-FFF2-40B4-BE49-F238E27FC236}">
              <a16:creationId xmlns:a16="http://schemas.microsoft.com/office/drawing/2014/main" id="{36BF9366-2AA2-4404-9BFA-287A2F89FE65}"/>
            </a:ext>
          </a:extLst>
        </xdr:cNvPr>
        <xdr:cNvSpPr txBox="1"/>
      </xdr:nvSpPr>
      <xdr:spPr>
        <a:xfrm>
          <a:off x="76200" y="1047750"/>
          <a:ext cx="2057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t>Total Respondents</a:t>
          </a:r>
        </a:p>
      </xdr:txBody>
    </xdr:sp>
    <xdr:clientData/>
  </xdr:twoCellAnchor>
  <xdr:twoCellAnchor>
    <xdr:from>
      <xdr:col>3</xdr:col>
      <xdr:colOff>209550</xdr:colOff>
      <xdr:row>5</xdr:row>
      <xdr:rowOff>152400</xdr:rowOff>
    </xdr:from>
    <xdr:to>
      <xdr:col>6</xdr:col>
      <xdr:colOff>352425</xdr:colOff>
      <xdr:row>7</xdr:row>
      <xdr:rowOff>66675</xdr:rowOff>
    </xdr:to>
    <xdr:sp macro="" textlink="">
      <xdr:nvSpPr>
        <xdr:cNvPr id="22" name="TextBox 21">
          <a:extLst>
            <a:ext uri="{FF2B5EF4-FFF2-40B4-BE49-F238E27FC236}">
              <a16:creationId xmlns:a16="http://schemas.microsoft.com/office/drawing/2014/main" id="{283EBB59-D0D7-44F3-B394-0C972FE90B18}"/>
            </a:ext>
          </a:extLst>
        </xdr:cNvPr>
        <xdr:cNvSpPr txBox="1"/>
      </xdr:nvSpPr>
      <xdr:spPr>
        <a:xfrm>
          <a:off x="2266950" y="1057275"/>
          <a:ext cx="22002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t>%</a:t>
          </a:r>
          <a:r>
            <a:rPr lang="en-GB" sz="1200" b="1" baseline="0"/>
            <a:t> Invested in Stock Market</a:t>
          </a:r>
          <a:endParaRPr lang="en-GB" sz="1200" b="1"/>
        </a:p>
      </xdr:txBody>
    </xdr:sp>
    <xdr:clientData/>
  </xdr:twoCellAnchor>
  <xdr:twoCellAnchor>
    <xdr:from>
      <xdr:col>6</xdr:col>
      <xdr:colOff>542925</xdr:colOff>
      <xdr:row>5</xdr:row>
      <xdr:rowOff>152400</xdr:rowOff>
    </xdr:from>
    <xdr:to>
      <xdr:col>9</xdr:col>
      <xdr:colOff>581024</xdr:colOff>
      <xdr:row>7</xdr:row>
      <xdr:rowOff>66675</xdr:rowOff>
    </xdr:to>
    <xdr:sp macro="" textlink="">
      <xdr:nvSpPr>
        <xdr:cNvPr id="23" name="TextBox 22">
          <a:extLst>
            <a:ext uri="{FF2B5EF4-FFF2-40B4-BE49-F238E27FC236}">
              <a16:creationId xmlns:a16="http://schemas.microsoft.com/office/drawing/2014/main" id="{01B24747-C198-4D7F-8B5F-DC42A0B892B6}"/>
            </a:ext>
          </a:extLst>
        </xdr:cNvPr>
        <xdr:cNvSpPr txBox="1"/>
      </xdr:nvSpPr>
      <xdr:spPr>
        <a:xfrm>
          <a:off x="4657725" y="1057275"/>
          <a:ext cx="20954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t>Top Investment Factor</a:t>
          </a:r>
        </a:p>
      </xdr:txBody>
    </xdr:sp>
    <xdr:clientData/>
  </xdr:twoCellAnchor>
  <xdr:twoCellAnchor>
    <xdr:from>
      <xdr:col>10</xdr:col>
      <xdr:colOff>31750</xdr:colOff>
      <xdr:row>5</xdr:row>
      <xdr:rowOff>127000</xdr:rowOff>
    </xdr:from>
    <xdr:to>
      <xdr:col>13</xdr:col>
      <xdr:colOff>540204</xdr:colOff>
      <xdr:row>7</xdr:row>
      <xdr:rowOff>10583</xdr:rowOff>
    </xdr:to>
    <xdr:sp macro="" textlink="">
      <xdr:nvSpPr>
        <xdr:cNvPr id="24" name="TextBox 23">
          <a:extLst>
            <a:ext uri="{FF2B5EF4-FFF2-40B4-BE49-F238E27FC236}">
              <a16:creationId xmlns:a16="http://schemas.microsoft.com/office/drawing/2014/main" id="{B2F958EB-8BCE-438F-9B86-20BABC4AC938}"/>
            </a:ext>
          </a:extLst>
        </xdr:cNvPr>
        <xdr:cNvSpPr txBox="1"/>
      </xdr:nvSpPr>
      <xdr:spPr>
        <a:xfrm>
          <a:off x="6910917" y="1026583"/>
          <a:ext cx="2572204"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t>Most Preferred Investment Avenue</a:t>
          </a:r>
        </a:p>
      </xdr:txBody>
    </xdr:sp>
    <xdr:clientData/>
  </xdr:twoCellAnchor>
  <xdr:twoCellAnchor editAs="oneCell">
    <xdr:from>
      <xdr:col>14</xdr:col>
      <xdr:colOff>514350</xdr:colOff>
      <xdr:row>1</xdr:row>
      <xdr:rowOff>47625</xdr:rowOff>
    </xdr:from>
    <xdr:to>
      <xdr:col>17</xdr:col>
      <xdr:colOff>285750</xdr:colOff>
      <xdr:row>6</xdr:row>
      <xdr:rowOff>47625</xdr:rowOff>
    </xdr:to>
    <mc:AlternateContent xmlns:mc="http://schemas.openxmlformats.org/markup-compatibility/2006">
      <mc:Choice xmlns:a14="http://schemas.microsoft.com/office/drawing/2010/main" Requires="a14">
        <xdr:graphicFrame macro="">
          <xdr:nvGraphicFramePr>
            <xdr:cNvPr id="26" name="gender 1">
              <a:extLst>
                <a:ext uri="{FF2B5EF4-FFF2-40B4-BE49-F238E27FC236}">
                  <a16:creationId xmlns:a16="http://schemas.microsoft.com/office/drawing/2014/main" id="{8DDFA7D3-9453-43D8-8175-14038F8A1FC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145183" y="227542"/>
              <a:ext cx="1835150" cy="8995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533400</xdr:colOff>
      <xdr:row>12</xdr:row>
      <xdr:rowOff>38100</xdr:rowOff>
    </xdr:from>
    <xdr:to>
      <xdr:col>17</xdr:col>
      <xdr:colOff>304800</xdr:colOff>
      <xdr:row>17</xdr:row>
      <xdr:rowOff>47625</xdr:rowOff>
    </xdr:to>
    <mc:AlternateContent xmlns:mc="http://schemas.openxmlformats.org/markup-compatibility/2006">
      <mc:Choice xmlns:a14="http://schemas.microsoft.com/office/drawing/2010/main" Requires="a14">
        <xdr:graphicFrame macro="">
          <xdr:nvGraphicFramePr>
            <xdr:cNvPr id="29" name="Duration 1">
              <a:extLst>
                <a:ext uri="{FF2B5EF4-FFF2-40B4-BE49-F238E27FC236}">
                  <a16:creationId xmlns:a16="http://schemas.microsoft.com/office/drawing/2014/main" id="{24F3A35E-36EE-4D8F-8F72-6127A23248BB}"/>
                </a:ext>
              </a:extLst>
            </xdr:cNvPr>
            <xdr:cNvGraphicFramePr/>
          </xdr:nvGraphicFramePr>
          <xdr:xfrm>
            <a:off x="0" y="0"/>
            <a:ext cx="0" cy="0"/>
          </xdr:xfrm>
          <a:graphic>
            <a:graphicData uri="http://schemas.microsoft.com/office/drawing/2010/slicer">
              <sle:slicer xmlns:sle="http://schemas.microsoft.com/office/drawing/2010/slicer" name="Duration 1"/>
            </a:graphicData>
          </a:graphic>
        </xdr:graphicFrame>
      </mc:Choice>
      <mc:Fallback>
        <xdr:sp macro="" textlink="">
          <xdr:nvSpPr>
            <xdr:cNvPr id="0" name=""/>
            <xdr:cNvSpPr>
              <a:spLocks noTextEdit="1"/>
            </xdr:cNvSpPr>
          </xdr:nvSpPr>
          <xdr:spPr>
            <a:xfrm>
              <a:off x="10164233" y="2197100"/>
              <a:ext cx="1835150" cy="9091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523875</xdr:colOff>
      <xdr:row>6</xdr:row>
      <xdr:rowOff>142875</xdr:rowOff>
    </xdr:from>
    <xdr:to>
      <xdr:col>17</xdr:col>
      <xdr:colOff>295275</xdr:colOff>
      <xdr:row>11</xdr:row>
      <xdr:rowOff>152400</xdr:rowOff>
    </xdr:to>
    <mc:AlternateContent xmlns:mc="http://schemas.openxmlformats.org/markup-compatibility/2006">
      <mc:Choice xmlns:a14="http://schemas.microsoft.com/office/drawing/2010/main" Requires="a14">
        <xdr:graphicFrame macro="">
          <xdr:nvGraphicFramePr>
            <xdr:cNvPr id="30" name="Age_Group 1">
              <a:extLst>
                <a:ext uri="{FF2B5EF4-FFF2-40B4-BE49-F238E27FC236}">
                  <a16:creationId xmlns:a16="http://schemas.microsoft.com/office/drawing/2014/main" id="{57CAA8E7-7FBB-4264-8FBC-98553A8F720E}"/>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10154708" y="1222375"/>
              <a:ext cx="1835150" cy="9091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ING'S PC" refreshedDate="46029.597763078702" createdVersion="7" refreshedVersion="7" minRefreshableVersion="3" recordCount="40" xr:uid="{EBA82F22-99D2-4A1D-B6DC-65A5ABD6D33E}">
  <cacheSource type="worksheet">
    <worksheetSource name="Investment_Table"/>
  </cacheSource>
  <cacheFields count="25">
    <cacheField name="gender" numFmtId="49">
      <sharedItems count="2">
        <s v="Female"/>
        <s v="Male"/>
      </sharedItems>
    </cacheField>
    <cacheField name="age" numFmtId="2">
      <sharedItems containsSemiMixedTypes="0" containsString="0" containsNumber="1" containsInteger="1" minValue="21" maxValue="35"/>
    </cacheField>
    <cacheField name="Investment_Avenues" numFmtId="49">
      <sharedItems/>
    </cacheField>
    <cacheField name="Mutual_Funds" numFmtId="1">
      <sharedItems containsSemiMixedTypes="0" containsString="0" containsNumber="1" containsInteger="1" minValue="1" maxValue="7"/>
    </cacheField>
    <cacheField name="Equity_Market" numFmtId="1">
      <sharedItems containsSemiMixedTypes="0" containsString="0" containsNumber="1" containsInteger="1" minValue="1" maxValue="6"/>
    </cacheField>
    <cacheField name="Debentures" numFmtId="1">
      <sharedItems containsSemiMixedTypes="0" containsString="0" containsNumber="1" containsInteger="1" minValue="1" maxValue="7"/>
    </cacheField>
    <cacheField name="Government_Bonds" numFmtId="1">
      <sharedItems containsSemiMixedTypes="0" containsString="0" containsNumber="1" containsInteger="1" minValue="1" maxValue="7"/>
    </cacheField>
    <cacheField name="Fixed_Deposits" numFmtId="1">
      <sharedItems containsSemiMixedTypes="0" containsString="0" containsNumber="1" containsInteger="1" minValue="1" maxValue="7"/>
    </cacheField>
    <cacheField name="PPF" numFmtId="1">
      <sharedItems containsSemiMixedTypes="0" containsString="0" containsNumber="1" containsInteger="1" minValue="1" maxValue="6"/>
    </cacheField>
    <cacheField name="Gold" numFmtId="1">
      <sharedItems containsSemiMixedTypes="0" containsString="0" containsNumber="1" containsInteger="1" minValue="2" maxValue="7"/>
    </cacheField>
    <cacheField name="Stock_Marktet" numFmtId="49">
      <sharedItems count="2">
        <s v="Yes"/>
        <s v="No"/>
      </sharedItems>
    </cacheField>
    <cacheField name="Factor" numFmtId="49">
      <sharedItems count="3">
        <s v="Returns"/>
        <s v="Locking Period"/>
        <s v="Risk"/>
      </sharedItems>
    </cacheField>
    <cacheField name="Objective" numFmtId="49">
      <sharedItems/>
    </cacheField>
    <cacheField name="Purpose" numFmtId="49">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ount="3">
        <s v="Retirement Plan"/>
        <s v="Health Care"/>
        <s v="Education"/>
      </sharedItems>
    </cacheField>
    <cacheField name="Reason_Equity" numFmtId="0">
      <sharedItems/>
    </cacheField>
    <cacheField name="Reason_Mutual" numFmtId="0">
      <sharedItems count="3">
        <s v="Better Returns"/>
        <s v="Tax Benefits"/>
        <s v="Fund Diversification"/>
      </sharedItems>
    </cacheField>
    <cacheField name="Reason_Bonds" numFmtId="0">
      <sharedItems/>
    </cacheField>
    <cacheField name="Age_Group" numFmtId="0">
      <sharedItems count="3">
        <s v="Experienced Adulthood"/>
        <s v="Early Adulthood"/>
        <s v="Established Adulthood"/>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pivotCacheId="2124141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s v="Yes"/>
    <n v="1"/>
    <n v="2"/>
    <n v="5"/>
    <n v="3"/>
    <n v="7"/>
    <n v="6"/>
    <n v="4"/>
    <x v="0"/>
    <x v="0"/>
    <s v="Capital Appreciation"/>
    <s v="Wealth Creation"/>
    <x v="0"/>
    <s v="Monthly"/>
    <x v="0"/>
    <x v="0"/>
    <x v="0"/>
    <s v="Capital Appreciation"/>
    <x v="0"/>
    <s v="Safe Investment"/>
    <x v="0"/>
    <s v="Fixed Returns"/>
    <s v="Newspapers and Magazines"/>
  </r>
  <r>
    <x v="0"/>
    <n v="23"/>
    <s v="Yes"/>
    <n v="4"/>
    <n v="3"/>
    <n v="2"/>
    <n v="1"/>
    <n v="5"/>
    <n v="6"/>
    <n v="7"/>
    <x v="1"/>
    <x v="1"/>
    <s v="Capital Appreciation"/>
    <s v="Wealth Creation"/>
    <x v="1"/>
    <s v="Weekly"/>
    <x v="0"/>
    <x v="0"/>
    <x v="1"/>
    <s v="Dividend"/>
    <x v="0"/>
    <s v="Safe Investment"/>
    <x v="1"/>
    <s v="High Interest Rates"/>
    <s v="Financial Consultants"/>
  </r>
  <r>
    <x v="1"/>
    <n v="30"/>
    <s v="Yes"/>
    <n v="3"/>
    <n v="6"/>
    <n v="4"/>
    <n v="2"/>
    <n v="5"/>
    <n v="1"/>
    <n v="7"/>
    <x v="0"/>
    <x v="0"/>
    <s v="Capital Appreciation"/>
    <s v="Wealth Creation"/>
    <x v="2"/>
    <s v="Daily"/>
    <x v="0"/>
    <x v="1"/>
    <x v="0"/>
    <s v="Capital Appreciation"/>
    <x v="1"/>
    <s v="Assured Returns"/>
    <x v="2"/>
    <s v="Fixed Returns"/>
    <s v="Television"/>
  </r>
  <r>
    <x v="1"/>
    <n v="22"/>
    <s v="Yes"/>
    <n v="2"/>
    <n v="1"/>
    <n v="3"/>
    <n v="7"/>
    <n v="6"/>
    <n v="4"/>
    <n v="5"/>
    <x v="0"/>
    <x v="0"/>
    <s v="Income"/>
    <s v="Wealth Creation"/>
    <x v="3"/>
    <s v="Daily"/>
    <x v="1"/>
    <x v="1"/>
    <x v="0"/>
    <s v="Dividend"/>
    <x v="2"/>
    <s v="Tax Incentives"/>
    <x v="1"/>
    <s v="High Interest Rates"/>
    <s v="Internet"/>
  </r>
  <r>
    <x v="0"/>
    <n v="24"/>
    <s v="No"/>
    <n v="2"/>
    <n v="1"/>
    <n v="3"/>
    <n v="6"/>
    <n v="4"/>
    <n v="5"/>
    <n v="7"/>
    <x v="1"/>
    <x v="0"/>
    <s v="Income"/>
    <s v="Wealth Creation"/>
    <x v="3"/>
    <s v="Daily"/>
    <x v="0"/>
    <x v="1"/>
    <x v="0"/>
    <s v="Capital Appreciation"/>
    <x v="0"/>
    <s v="Safe Investment"/>
    <x v="1"/>
    <s v="Risk Free"/>
    <s v="Internet"/>
  </r>
  <r>
    <x v="0"/>
    <n v="24"/>
    <s v="No"/>
    <n v="7"/>
    <n v="5"/>
    <n v="4"/>
    <n v="6"/>
    <n v="3"/>
    <n v="1"/>
    <n v="2"/>
    <x v="1"/>
    <x v="2"/>
    <s v="Capital Appreciation"/>
    <s v="Wealth Creation"/>
    <x v="0"/>
    <s v="Daily"/>
    <x v="2"/>
    <x v="0"/>
    <x v="0"/>
    <s v="Liquidity"/>
    <x v="2"/>
    <s v="Safe Investment"/>
    <x v="1"/>
    <s v="Risk Free"/>
    <s v="Internet"/>
  </r>
  <r>
    <x v="0"/>
    <n v="27"/>
    <s v="Yes"/>
    <n v="3"/>
    <n v="6"/>
    <n v="4"/>
    <n v="2"/>
    <n v="5"/>
    <n v="1"/>
    <n v="7"/>
    <x v="0"/>
    <x v="0"/>
    <s v="Capital Appreciation"/>
    <s v="Wealth Creation"/>
    <x v="2"/>
    <s v="Monthly"/>
    <x v="0"/>
    <x v="1"/>
    <x v="0"/>
    <s v="Capital Appreciation"/>
    <x v="0"/>
    <s v="Assured Returns"/>
    <x v="2"/>
    <s v="High Interest Rates"/>
    <s v="Financial Consultants"/>
  </r>
  <r>
    <x v="1"/>
    <n v="21"/>
    <s v="Yes"/>
    <n v="2"/>
    <n v="3"/>
    <n v="7"/>
    <n v="4"/>
    <n v="6"/>
    <n v="1"/>
    <n v="5"/>
    <x v="0"/>
    <x v="2"/>
    <s v="Capital Appreciation"/>
    <s v="Wealth Creation"/>
    <x v="2"/>
    <s v="Monthly"/>
    <x v="0"/>
    <x v="0"/>
    <x v="0"/>
    <s v="Capital Appreciation"/>
    <x v="0"/>
    <s v="Assured Returns"/>
    <x v="1"/>
    <s v="Risk Free"/>
    <s v="Newspapers and Magazines"/>
  </r>
  <r>
    <x v="1"/>
    <n v="35"/>
    <s v="Yes"/>
    <n v="2"/>
    <n v="4"/>
    <n v="7"/>
    <n v="5"/>
    <n v="3"/>
    <n v="1"/>
    <n v="6"/>
    <x v="0"/>
    <x v="0"/>
    <s v="Growth"/>
    <s v="Savings for Future"/>
    <x v="0"/>
    <s v="Weekly"/>
    <x v="0"/>
    <x v="1"/>
    <x v="0"/>
    <s v="Capital Appreciation"/>
    <x v="2"/>
    <s v="Safe Investment"/>
    <x v="0"/>
    <s v="Fixed Returns"/>
    <s v="Television"/>
  </r>
  <r>
    <x v="1"/>
    <n v="31"/>
    <s v="Yes"/>
    <n v="1"/>
    <n v="3"/>
    <n v="7"/>
    <n v="4"/>
    <n v="5"/>
    <n v="2"/>
    <n v="6"/>
    <x v="0"/>
    <x v="0"/>
    <s v="Capital Appreciation"/>
    <s v="Wealth Creation"/>
    <x v="2"/>
    <s v="Monthly"/>
    <x v="2"/>
    <x v="2"/>
    <x v="0"/>
    <s v="Capital Appreciation"/>
    <x v="2"/>
    <s v="Assured Returns"/>
    <x v="0"/>
    <s v="Fixed Returns"/>
    <s v="Newspapers and Magazines"/>
  </r>
  <r>
    <x v="0"/>
    <n v="35"/>
    <s v="Yes"/>
    <n v="2"/>
    <n v="4"/>
    <n v="7"/>
    <n v="5"/>
    <n v="3"/>
    <n v="1"/>
    <n v="6"/>
    <x v="0"/>
    <x v="2"/>
    <s v="Growth"/>
    <s v="Savings for Future"/>
    <x v="2"/>
    <s v="Monthly"/>
    <x v="0"/>
    <x v="0"/>
    <x v="0"/>
    <s v="Capital Appreciation"/>
    <x v="0"/>
    <s v="Assured Returns"/>
    <x v="0"/>
    <s v="Risk Free"/>
    <s v="Financial Consultants"/>
  </r>
  <r>
    <x v="1"/>
    <n v="29"/>
    <s v="Yes"/>
    <n v="2"/>
    <n v="5"/>
    <n v="7"/>
    <n v="6"/>
    <n v="3"/>
    <n v="1"/>
    <n v="4"/>
    <x v="0"/>
    <x v="2"/>
    <s v="Capital Appreciation"/>
    <s v="Wealth Creation"/>
    <x v="0"/>
    <s v="Monthly"/>
    <x v="0"/>
    <x v="0"/>
    <x v="0"/>
    <s v="Capital Appreciation"/>
    <x v="2"/>
    <s v="Assured Returns"/>
    <x v="2"/>
    <s v="Fixed Returns"/>
    <s v="Financial Consultants"/>
  </r>
  <r>
    <x v="0"/>
    <n v="21"/>
    <s v="No"/>
    <n v="1"/>
    <n v="2"/>
    <n v="3"/>
    <n v="4"/>
    <n v="5"/>
    <n v="6"/>
    <n v="7"/>
    <x v="1"/>
    <x v="0"/>
    <s v="Capital Appreciation"/>
    <s v="Savings for Future"/>
    <x v="0"/>
    <s v="Weekly"/>
    <x v="0"/>
    <x v="0"/>
    <x v="2"/>
    <s v="Dividend"/>
    <x v="0"/>
    <s v="Safe Investment"/>
    <x v="1"/>
    <s v="Risk Free"/>
    <s v="Internet"/>
  </r>
  <r>
    <x v="0"/>
    <n v="28"/>
    <s v="Yes"/>
    <n v="2"/>
    <n v="3"/>
    <n v="7"/>
    <n v="4"/>
    <n v="5"/>
    <n v="1"/>
    <n v="6"/>
    <x v="0"/>
    <x v="0"/>
    <s v="Capital Appreciation"/>
    <s v="Wealth Creation"/>
    <x v="0"/>
    <s v="Monthly"/>
    <x v="0"/>
    <x v="0"/>
    <x v="0"/>
    <s v="Capital Appreciation"/>
    <x v="2"/>
    <s v="Assured Returns"/>
    <x v="2"/>
    <s v="Risk Free"/>
    <s v="Newspapers and Magazines"/>
  </r>
  <r>
    <x v="0"/>
    <n v="25"/>
    <s v="Yes"/>
    <n v="2"/>
    <n v="3"/>
    <n v="7"/>
    <n v="5"/>
    <n v="4"/>
    <n v="1"/>
    <n v="6"/>
    <x v="0"/>
    <x v="0"/>
    <s v="Capital Appreciation"/>
    <s v="Wealth Creation"/>
    <x v="0"/>
    <s v="Monthly"/>
    <x v="0"/>
    <x v="2"/>
    <x v="1"/>
    <s v="Dividend"/>
    <x v="0"/>
    <s v="Assured Returns"/>
    <x v="1"/>
    <s v="Risk Free"/>
    <s v="Financial Consultants"/>
  </r>
  <r>
    <x v="1"/>
    <n v="27"/>
    <s v="Yes"/>
    <n v="2"/>
    <n v="3"/>
    <n v="7"/>
    <n v="5"/>
    <n v="4"/>
    <n v="1"/>
    <n v="6"/>
    <x v="0"/>
    <x v="0"/>
    <s v="Capital Appreciation"/>
    <s v="Wealth Creation"/>
    <x v="0"/>
    <s v="Monthly"/>
    <x v="0"/>
    <x v="0"/>
    <x v="1"/>
    <s v="Capital Appreciation"/>
    <x v="2"/>
    <s v="Assured Returns"/>
    <x v="2"/>
    <s v="Risk Free"/>
    <s v="Newspapers and Magazines"/>
  </r>
  <r>
    <x v="0"/>
    <n v="28"/>
    <s v="Yes"/>
    <n v="3"/>
    <n v="2"/>
    <n v="7"/>
    <n v="5"/>
    <n v="4"/>
    <n v="1"/>
    <n v="6"/>
    <x v="0"/>
    <x v="2"/>
    <s v="Growth"/>
    <s v="Wealth Creation"/>
    <x v="0"/>
    <s v="Monthly"/>
    <x v="0"/>
    <x v="2"/>
    <x v="1"/>
    <s v="Capital Appreciation"/>
    <x v="2"/>
    <s v="Assured Returns"/>
    <x v="2"/>
    <s v="Risk Free"/>
    <s v="Television"/>
  </r>
  <r>
    <x v="1"/>
    <n v="27"/>
    <s v="Yes"/>
    <n v="3"/>
    <n v="2"/>
    <n v="7"/>
    <n v="4"/>
    <n v="5"/>
    <n v="1"/>
    <n v="6"/>
    <x v="0"/>
    <x v="0"/>
    <s v="Capital Appreciation"/>
    <s v="Wealth Creation"/>
    <x v="0"/>
    <s v="Monthly"/>
    <x v="0"/>
    <x v="0"/>
    <x v="0"/>
    <s v="Capital Appreciation"/>
    <x v="0"/>
    <s v="Assured Returns"/>
    <x v="2"/>
    <s v="Risk Free"/>
    <s v="Financial Consultants"/>
  </r>
  <r>
    <x v="1"/>
    <n v="29"/>
    <s v="Yes"/>
    <n v="3"/>
    <n v="2"/>
    <n v="7"/>
    <n v="4"/>
    <n v="5"/>
    <n v="1"/>
    <n v="6"/>
    <x v="0"/>
    <x v="2"/>
    <s v="Capital Appreciation"/>
    <s v="Wealth Creation"/>
    <x v="0"/>
    <s v="Monthly"/>
    <x v="0"/>
    <x v="0"/>
    <x v="0"/>
    <s v="Capital Appreciation"/>
    <x v="0"/>
    <s v="Assured Returns"/>
    <x v="2"/>
    <s v="Risk Free"/>
    <s v="Newspapers and Magazines"/>
  </r>
  <r>
    <x v="1"/>
    <n v="26"/>
    <s v="Yes"/>
    <n v="3"/>
    <n v="4"/>
    <n v="6"/>
    <n v="5"/>
    <n v="1"/>
    <n v="2"/>
    <n v="7"/>
    <x v="0"/>
    <x v="2"/>
    <s v="Capital Appreciation"/>
    <s v="Wealth Creation"/>
    <x v="2"/>
    <s v="Monthly"/>
    <x v="0"/>
    <x v="2"/>
    <x v="1"/>
    <s v="Capital Appreciation"/>
    <x v="2"/>
    <s v="Assured Returns"/>
    <x v="2"/>
    <s v="Risk Free"/>
    <s v="Newspapers and Magazines"/>
  </r>
  <r>
    <x v="1"/>
    <n v="29"/>
    <s v="Yes"/>
    <n v="2"/>
    <n v="4"/>
    <n v="7"/>
    <n v="5"/>
    <n v="3"/>
    <n v="1"/>
    <n v="6"/>
    <x v="0"/>
    <x v="0"/>
    <s v="Growth"/>
    <s v="Wealth Creation"/>
    <x v="2"/>
    <s v="Weekly"/>
    <x v="0"/>
    <x v="0"/>
    <x v="0"/>
    <s v="Capital Appreciation"/>
    <x v="0"/>
    <s v="Assured Returns"/>
    <x v="2"/>
    <s v="Fixed Returns"/>
    <s v="Financial Consultants"/>
  </r>
  <r>
    <x v="0"/>
    <n v="24"/>
    <s v="Yes"/>
    <n v="2"/>
    <n v="4"/>
    <n v="5"/>
    <n v="6"/>
    <n v="3"/>
    <n v="1"/>
    <n v="7"/>
    <x v="0"/>
    <x v="2"/>
    <s v="Capital Appreciation"/>
    <s v="Wealth Creation"/>
    <x v="2"/>
    <s v="Monthly"/>
    <x v="0"/>
    <x v="1"/>
    <x v="1"/>
    <s v="Capital Appreciation"/>
    <x v="0"/>
    <s v="Assured Returns"/>
    <x v="1"/>
    <s v="Risk Free"/>
    <s v="Newspapers and Magazines"/>
  </r>
  <r>
    <x v="1"/>
    <n v="27"/>
    <s v="Yes"/>
    <n v="3"/>
    <n v="4"/>
    <n v="6"/>
    <n v="5"/>
    <n v="2"/>
    <n v="1"/>
    <n v="7"/>
    <x v="0"/>
    <x v="0"/>
    <s v="Capital Appreciation"/>
    <s v="Wealth Creation"/>
    <x v="2"/>
    <s v="Monthly"/>
    <x v="0"/>
    <x v="0"/>
    <x v="0"/>
    <s v="Capital Appreciation"/>
    <x v="0"/>
    <s v="Assured Returns"/>
    <x v="2"/>
    <s v="Risk Free"/>
    <s v="Financial Consultants"/>
  </r>
  <r>
    <x v="1"/>
    <n v="25"/>
    <s v="Yes"/>
    <n v="2"/>
    <n v="4"/>
    <n v="6"/>
    <n v="5"/>
    <n v="3"/>
    <n v="1"/>
    <n v="7"/>
    <x v="0"/>
    <x v="2"/>
    <s v="Growth"/>
    <s v="Savings for Future"/>
    <x v="2"/>
    <s v="Weekly"/>
    <x v="0"/>
    <x v="3"/>
    <x v="1"/>
    <s v="Liquidity"/>
    <x v="0"/>
    <s v="Assured Returns"/>
    <x v="1"/>
    <s v="Risk Free"/>
    <s v="Financial Consultants"/>
  </r>
  <r>
    <x v="0"/>
    <n v="26"/>
    <s v="Yes"/>
    <n v="2"/>
    <n v="3"/>
    <n v="7"/>
    <n v="5"/>
    <n v="4"/>
    <n v="1"/>
    <n v="6"/>
    <x v="0"/>
    <x v="0"/>
    <s v="Capital Appreciation"/>
    <s v="Wealth Creation"/>
    <x v="2"/>
    <s v="Monthly"/>
    <x v="2"/>
    <x v="3"/>
    <x v="0"/>
    <s v="Capital Appreciation"/>
    <x v="0"/>
    <s v="Assured Returns"/>
    <x v="2"/>
    <s v="Risk Free"/>
    <s v="Newspapers and Magazines"/>
  </r>
  <r>
    <x v="0"/>
    <n v="32"/>
    <s v="Yes"/>
    <n v="3"/>
    <n v="4"/>
    <n v="7"/>
    <n v="5"/>
    <n v="1"/>
    <n v="2"/>
    <n v="6"/>
    <x v="0"/>
    <x v="2"/>
    <s v="Growth"/>
    <s v="Wealth Creation"/>
    <x v="2"/>
    <s v="Monthly"/>
    <x v="0"/>
    <x v="0"/>
    <x v="0"/>
    <s v="Capital Appreciation"/>
    <x v="0"/>
    <s v="Assured Returns"/>
    <x v="0"/>
    <s v="Fixed Returns"/>
    <s v="Financial Consultants"/>
  </r>
  <r>
    <x v="1"/>
    <n v="26"/>
    <s v="Yes"/>
    <n v="3"/>
    <n v="4"/>
    <n v="6"/>
    <n v="5"/>
    <n v="1"/>
    <n v="2"/>
    <n v="7"/>
    <x v="0"/>
    <x v="0"/>
    <s v="Capital Appreciation"/>
    <s v="Wealth Creation"/>
    <x v="2"/>
    <s v="Monthly"/>
    <x v="0"/>
    <x v="0"/>
    <x v="0"/>
    <s v="Dividend"/>
    <x v="2"/>
    <s v="Assured Returns"/>
    <x v="2"/>
    <s v="Fixed Returns"/>
    <s v="Financial Consultants"/>
  </r>
  <r>
    <x v="1"/>
    <n v="31"/>
    <s v="Yes"/>
    <n v="2"/>
    <n v="3"/>
    <n v="7"/>
    <n v="6"/>
    <n v="4"/>
    <n v="1"/>
    <n v="5"/>
    <x v="0"/>
    <x v="2"/>
    <s v="Growth"/>
    <s v="Savings for Future"/>
    <x v="0"/>
    <s v="Monthly"/>
    <x v="0"/>
    <x v="2"/>
    <x v="1"/>
    <s v="Capital Appreciation"/>
    <x v="2"/>
    <s v="Safe Investment"/>
    <x v="0"/>
    <s v="Fixed Returns"/>
    <s v="Television"/>
  </r>
  <r>
    <x v="1"/>
    <n v="29"/>
    <s v="Yes"/>
    <n v="2"/>
    <n v="3"/>
    <n v="6"/>
    <n v="5"/>
    <n v="1"/>
    <n v="4"/>
    <n v="7"/>
    <x v="0"/>
    <x v="0"/>
    <s v="Capital Appreciation"/>
    <s v="Wealth Creation"/>
    <x v="0"/>
    <s v="Monthly"/>
    <x v="0"/>
    <x v="1"/>
    <x v="0"/>
    <s v="Capital Appreciation"/>
    <x v="0"/>
    <s v="Assured Returns"/>
    <x v="2"/>
    <s v="Risk Free"/>
    <s v="Television"/>
  </r>
  <r>
    <x v="0"/>
    <n v="34"/>
    <s v="Yes"/>
    <n v="5"/>
    <n v="4"/>
    <n v="3"/>
    <n v="2"/>
    <n v="7"/>
    <n v="1"/>
    <n v="6"/>
    <x v="0"/>
    <x v="0"/>
    <s v="Income"/>
    <s v="Returns"/>
    <x v="2"/>
    <s v="Monthly"/>
    <x v="1"/>
    <x v="0"/>
    <x v="0"/>
    <s v="Capital Appreciation"/>
    <x v="1"/>
    <s v="Safe Investment"/>
    <x v="0"/>
    <s v="Fixed Returns"/>
    <s v="Newspapers and Magazines"/>
  </r>
  <r>
    <x v="1"/>
    <n v="27"/>
    <s v="Yes"/>
    <n v="4"/>
    <n v="5"/>
    <n v="1"/>
    <n v="2"/>
    <n v="7"/>
    <n v="3"/>
    <n v="6"/>
    <x v="1"/>
    <x v="0"/>
    <s v="Growth"/>
    <s v="Wealth Creation"/>
    <x v="0"/>
    <s v="Monthly"/>
    <x v="1"/>
    <x v="0"/>
    <x v="2"/>
    <s v="Capital Appreciation"/>
    <x v="1"/>
    <s v="Safe Investment"/>
    <x v="2"/>
    <s v="Fixed Returns"/>
    <s v="Television"/>
  </r>
  <r>
    <x v="0"/>
    <n v="31"/>
    <s v="Yes"/>
    <n v="2"/>
    <n v="4"/>
    <n v="7"/>
    <n v="6"/>
    <n v="3"/>
    <n v="1"/>
    <n v="5"/>
    <x v="0"/>
    <x v="0"/>
    <s v="Capital Appreciation"/>
    <s v="Wealth Creation"/>
    <x v="2"/>
    <s v="Monthly"/>
    <x v="0"/>
    <x v="2"/>
    <x v="0"/>
    <s v="Capital Appreciation"/>
    <x v="0"/>
    <s v="Assured Returns"/>
    <x v="0"/>
    <s v="Fixed Returns"/>
    <s v="Financial Consultants"/>
  </r>
  <r>
    <x v="1"/>
    <n v="27"/>
    <s v="Yes"/>
    <n v="2"/>
    <n v="4"/>
    <n v="7"/>
    <n v="5"/>
    <n v="1"/>
    <n v="3"/>
    <n v="6"/>
    <x v="0"/>
    <x v="0"/>
    <s v="Capital Appreciation"/>
    <s v="Wealth Creation"/>
    <x v="2"/>
    <s v="Monthly"/>
    <x v="2"/>
    <x v="1"/>
    <x v="1"/>
    <s v="Capital Appreciation"/>
    <x v="2"/>
    <s v="Assured Returns"/>
    <x v="2"/>
    <s v="Fixed Returns"/>
    <s v="Newspapers and Magazines"/>
  </r>
  <r>
    <x v="1"/>
    <n v="26"/>
    <s v="Yes"/>
    <n v="2"/>
    <n v="3"/>
    <n v="6"/>
    <n v="4"/>
    <n v="1"/>
    <n v="5"/>
    <n v="7"/>
    <x v="0"/>
    <x v="0"/>
    <s v="Capital Appreciation"/>
    <s v="Returns"/>
    <x v="0"/>
    <s v="Monthly"/>
    <x v="0"/>
    <x v="2"/>
    <x v="2"/>
    <s v="Dividend"/>
    <x v="0"/>
    <s v="Safe Investment"/>
    <x v="2"/>
    <s v="Risk Free"/>
    <s v="Newspapers and Magazines"/>
  </r>
  <r>
    <x v="1"/>
    <n v="27"/>
    <s v="Yes"/>
    <n v="2"/>
    <n v="3"/>
    <n v="6"/>
    <n v="5"/>
    <n v="4"/>
    <n v="1"/>
    <n v="7"/>
    <x v="0"/>
    <x v="0"/>
    <s v="Capital Appreciation"/>
    <s v="Wealth Creation"/>
    <x v="0"/>
    <s v="Weekly"/>
    <x v="0"/>
    <x v="0"/>
    <x v="1"/>
    <s v="Capital Appreciation"/>
    <x v="0"/>
    <s v="Safe Investment"/>
    <x v="2"/>
    <s v="Fixed Returns"/>
    <s v="Financial Consultants"/>
  </r>
  <r>
    <x v="1"/>
    <n v="30"/>
    <s v="Yes"/>
    <n v="1"/>
    <n v="4"/>
    <n v="6"/>
    <n v="5"/>
    <n v="3"/>
    <n v="2"/>
    <n v="7"/>
    <x v="0"/>
    <x v="2"/>
    <s v="Growth"/>
    <s v="Wealth Creation"/>
    <x v="2"/>
    <s v="Monthly"/>
    <x v="0"/>
    <x v="2"/>
    <x v="1"/>
    <s v="Capital Appreciation"/>
    <x v="0"/>
    <s v="Assured Returns"/>
    <x v="2"/>
    <s v="Fixed Returns"/>
    <s v="Financial Consultants"/>
  </r>
  <r>
    <x v="1"/>
    <n v="30"/>
    <s v="Yes"/>
    <n v="2"/>
    <n v="4"/>
    <n v="7"/>
    <n v="5"/>
    <n v="1"/>
    <n v="3"/>
    <n v="6"/>
    <x v="0"/>
    <x v="0"/>
    <s v="Capital Appreciation"/>
    <s v="Wealth Creation"/>
    <x v="0"/>
    <s v="Monthly"/>
    <x v="0"/>
    <x v="1"/>
    <x v="0"/>
    <s v="Capital Appreciation"/>
    <x v="0"/>
    <s v="Assured Returns"/>
    <x v="2"/>
    <s v="Risk Free"/>
    <s v="Newspapers and Magazines"/>
  </r>
  <r>
    <x v="1"/>
    <n v="25"/>
    <s v="Yes"/>
    <n v="5"/>
    <n v="4"/>
    <n v="7"/>
    <n v="6"/>
    <n v="1"/>
    <n v="2"/>
    <n v="3"/>
    <x v="0"/>
    <x v="2"/>
    <s v="Growth"/>
    <s v="Savings for Future"/>
    <x v="2"/>
    <s v="Monthly"/>
    <x v="2"/>
    <x v="3"/>
    <x v="1"/>
    <s v="Capital Appreciation"/>
    <x v="0"/>
    <s v="Safe Investment"/>
    <x v="1"/>
    <s v="Fixed Returns"/>
    <s v="Financial Consultants"/>
  </r>
  <r>
    <x v="1"/>
    <n v="31"/>
    <s v="Yes"/>
    <n v="2"/>
    <n v="4"/>
    <n v="7"/>
    <n v="5"/>
    <n v="3"/>
    <n v="1"/>
    <n v="6"/>
    <x v="0"/>
    <x v="2"/>
    <s v="Growth"/>
    <s v="Wealth Creation"/>
    <x v="0"/>
    <s v="Weekly"/>
    <x v="0"/>
    <x v="1"/>
    <x v="1"/>
    <s v="Dividend"/>
    <x v="2"/>
    <s v="Assured Returns"/>
    <x v="0"/>
    <s v="Fixed Returns"/>
    <s v="Newspapers and Magazines"/>
  </r>
  <r>
    <x v="1"/>
    <n v="29"/>
    <s v="Yes"/>
    <n v="4"/>
    <n v="3"/>
    <n v="5"/>
    <n v="7"/>
    <n v="2"/>
    <n v="1"/>
    <n v="6"/>
    <x v="0"/>
    <x v="0"/>
    <s v="Capital Appreciation"/>
    <s v="Wealth Creation"/>
    <x v="2"/>
    <s v="Monthly"/>
    <x v="0"/>
    <x v="2"/>
    <x v="0"/>
    <s v="Dividend"/>
    <x v="0"/>
    <s v="Safe Investment"/>
    <x v="2"/>
    <s v="Fixed Returns"/>
    <s v="Financial Consulta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6CBA9-2ADC-4E24-ACB3-601A237A3C3D}" name="PivotTable2"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9" firstHeaderRow="1" firstDataRow="2" firstDataCol="1"/>
  <pivotFields count="25">
    <pivotField axis="axisCol"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items count="5">
        <item x="0"/>
        <item x="2"/>
        <item x="3"/>
        <item x="1"/>
        <item t="default"/>
      </items>
    </pivotField>
    <pivotField showAll="0"/>
    <pivotField showAll="0"/>
    <pivotField axis="axisRow" dataField="1" showAll="0">
      <items count="5">
        <item x="1"/>
        <item x="2"/>
        <item x="0"/>
        <item x="3"/>
        <item t="default"/>
      </items>
    </pivotField>
    <pivotField showAll="0"/>
    <pivotField showAll="0"/>
    <pivotField showAll="0"/>
    <pivotField showAll="0"/>
    <pivotField showAll="0">
      <items count="4">
        <item x="1"/>
        <item x="2"/>
        <item x="0"/>
        <item t="default"/>
      </items>
    </pivotField>
    <pivotField showAll="0"/>
    <pivotField showAll="0"/>
  </pivotFields>
  <rowFields count="1">
    <field x="17"/>
  </rowFields>
  <rowItems count="5">
    <i>
      <x/>
    </i>
    <i>
      <x v="1"/>
    </i>
    <i>
      <x v="2"/>
    </i>
    <i>
      <x v="3"/>
    </i>
    <i t="grand">
      <x/>
    </i>
  </rowItems>
  <colFields count="1">
    <field x="0"/>
  </colFields>
  <colItems count="3">
    <i>
      <x/>
    </i>
    <i>
      <x v="1"/>
    </i>
    <i t="grand">
      <x/>
    </i>
  </colItems>
  <dataFields count="1">
    <dataField name="Count of Avenue" fld="17"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0469DB-226B-4742-AB44-C5C97BE7FD43}" name="PivotTable3"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25">
    <pivotField showAll="0">
      <items count="3">
        <item x="0"/>
        <item x="1"/>
        <item t="default"/>
      </items>
    </pivotField>
    <pivotField numFmtId="2" showAll="0"/>
    <pivotField dataFiel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s>
  <rowFields count="1">
    <field x="22"/>
  </rowFields>
  <rowItems count="4">
    <i>
      <x/>
    </i>
    <i>
      <x v="1"/>
    </i>
    <i>
      <x v="2"/>
    </i>
    <i t="grand">
      <x/>
    </i>
  </rowItems>
  <colItems count="1">
    <i/>
  </colItems>
  <dataFields count="1">
    <dataField name="Count of Investment_Avenues"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9C9A80-0E20-4133-9F9E-9E8AB4235B3A}" name="PivotTable4"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E8" firstHeaderRow="1" firstDataRow="2" firstDataCol="1"/>
  <pivotFields count="25">
    <pivotField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showAll="0"/>
    <pivotField axis="axisCol" dataField="1" showAll="0">
      <items count="4">
        <item x="1"/>
        <item x="0"/>
        <item x="2"/>
        <item t="default"/>
      </items>
    </pivotField>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s>
  <rowFields count="1">
    <field x="22"/>
  </rowFields>
  <rowItems count="4">
    <i>
      <x/>
    </i>
    <i>
      <x v="1"/>
    </i>
    <i>
      <x v="2"/>
    </i>
    <i t="grand">
      <x/>
    </i>
  </rowItems>
  <colFields count="1">
    <field x="11"/>
  </colFields>
  <colItems count="4">
    <i>
      <x/>
    </i>
    <i>
      <x v="1"/>
    </i>
    <i>
      <x v="2"/>
    </i>
    <i t="grand">
      <x/>
    </i>
  </colItems>
  <dataFields count="1">
    <dataField name="Count of Factor" fld="11"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23A92B-2FD8-4CA7-8997-5C55C9F80479}" name="PivotTable5"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E9" firstHeaderRow="1" firstDataRow="2" firstDataCol="1"/>
  <pivotFields count="25">
    <pivotField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axis="axisRow" showAll="0">
      <items count="5">
        <item x="0"/>
        <item x="2"/>
        <item x="3"/>
        <item x="1"/>
        <item t="default"/>
      </items>
    </pivotField>
    <pivotField showAll="0"/>
    <pivotField showAll="0"/>
    <pivotField showAll="0"/>
    <pivotField axis="axisCol" dataField="1" showAll="0">
      <items count="4">
        <item x="2"/>
        <item x="1"/>
        <item x="0"/>
        <item t="default"/>
      </items>
    </pivotField>
    <pivotField showAll="0"/>
    <pivotField showAll="0"/>
    <pivotField showAll="0"/>
    <pivotField showAll="0">
      <items count="4">
        <item x="1"/>
        <item x="2"/>
        <item x="0"/>
        <item t="default"/>
      </items>
    </pivotField>
    <pivotField showAll="0"/>
    <pivotField showAll="0"/>
  </pivotFields>
  <rowFields count="1">
    <field x="14"/>
  </rowFields>
  <rowItems count="5">
    <i>
      <x/>
    </i>
    <i>
      <x v="1"/>
    </i>
    <i>
      <x v="2"/>
    </i>
    <i>
      <x v="3"/>
    </i>
    <i t="grand">
      <x/>
    </i>
  </rowItems>
  <colFields count="1">
    <field x="18"/>
  </colFields>
  <colItems count="4">
    <i>
      <x/>
    </i>
    <i>
      <x v="1"/>
    </i>
    <i>
      <x v="2"/>
    </i>
    <i t="grand">
      <x/>
    </i>
  </colItems>
  <dataFields count="1">
    <dataField name="Count of What are your savings objectives?" fld="18" subtotal="count" baseField="0" baseItem="0"/>
  </dataFields>
  <chartFormats count="6">
    <chartFormat chart="0" format="9" series="1">
      <pivotArea type="data" outline="0" fieldPosition="0">
        <references count="2">
          <reference field="4294967294" count="1" selected="0">
            <x v="0"/>
          </reference>
          <reference field="18" count="1" selected="0">
            <x v="0"/>
          </reference>
        </references>
      </pivotArea>
    </chartFormat>
    <chartFormat chart="0" format="10" series="1">
      <pivotArea type="data" outline="0" fieldPosition="0">
        <references count="2">
          <reference field="4294967294" count="1" selected="0">
            <x v="0"/>
          </reference>
          <reference field="18" count="1" selected="0">
            <x v="1"/>
          </reference>
        </references>
      </pivotArea>
    </chartFormat>
    <chartFormat chart="0" format="11" series="1">
      <pivotArea type="data" outline="0" fieldPosition="0">
        <references count="2">
          <reference field="4294967294" count="1" selected="0">
            <x v="0"/>
          </reference>
          <reference field="18" count="1" selected="0">
            <x v="2"/>
          </reference>
        </references>
      </pivotArea>
    </chartFormat>
    <chartFormat chart="3" format="15" series="1">
      <pivotArea type="data" outline="0" fieldPosition="0">
        <references count="2">
          <reference field="4294967294" count="1" selected="0">
            <x v="0"/>
          </reference>
          <reference field="18" count="1" selected="0">
            <x v="0"/>
          </reference>
        </references>
      </pivotArea>
    </chartFormat>
    <chartFormat chart="3" format="16" series="1">
      <pivotArea type="data" outline="0" fieldPosition="0">
        <references count="2">
          <reference field="4294967294" count="1" selected="0">
            <x v="0"/>
          </reference>
          <reference field="18" count="1" selected="0">
            <x v="1"/>
          </reference>
        </references>
      </pivotArea>
    </chartFormat>
    <chartFormat chart="3" format="17"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D94C83-F6A1-413B-9A8F-6ACC764876C6}" name="PivotTable6"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E8" firstHeaderRow="1" firstDataRow="2" firstDataCol="1"/>
  <pivotFields count="25">
    <pivotField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items count="5">
        <item x="0"/>
        <item x="2"/>
        <item x="3"/>
        <item x="1"/>
        <item t="default"/>
      </items>
    </pivotField>
    <pivotField showAll="0"/>
    <pivotField axis="axisRow" showAll="0">
      <items count="4">
        <item x="1"/>
        <item x="0"/>
        <item x="2"/>
        <item t="default"/>
      </items>
    </pivotField>
    <pivotField showAll="0"/>
    <pivotField showAll="0"/>
    <pivotField showAll="0"/>
    <pivotField axis="axisCol" dataField="1" showAll="0">
      <items count="4">
        <item x="0"/>
        <item x="2"/>
        <item x="1"/>
        <item t="default"/>
      </items>
    </pivotField>
    <pivotField showAll="0"/>
    <pivotField showAll="0">
      <items count="4">
        <item x="1"/>
        <item x="2"/>
        <item x="0"/>
        <item t="default"/>
      </items>
    </pivotField>
    <pivotField showAll="0"/>
    <pivotField showAll="0"/>
  </pivotFields>
  <rowFields count="1">
    <field x="16"/>
  </rowFields>
  <rowItems count="4">
    <i>
      <x/>
    </i>
    <i>
      <x v="1"/>
    </i>
    <i>
      <x v="2"/>
    </i>
    <i t="grand">
      <x/>
    </i>
  </rowItems>
  <colFields count="1">
    <field x="20"/>
  </colFields>
  <colItems count="4">
    <i>
      <x/>
    </i>
    <i>
      <x v="1"/>
    </i>
    <i>
      <x v="2"/>
    </i>
    <i t="grand">
      <x/>
    </i>
  </colItems>
  <dataFields count="1">
    <dataField name="Count of Reason_Mutual"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3" format="6" series="1">
      <pivotArea type="data" outline="0" fieldPosition="0">
        <references count="2">
          <reference field="4294967294" count="1" selected="0">
            <x v="0"/>
          </reference>
          <reference field="20" count="1" selected="0">
            <x v="0"/>
          </reference>
        </references>
      </pivotArea>
    </chartFormat>
    <chartFormat chart="3" format="7" series="1">
      <pivotArea type="data" outline="0" fieldPosition="0">
        <references count="2">
          <reference field="4294967294" count="1" selected="0">
            <x v="0"/>
          </reference>
          <reference field="20" count="1" selected="0">
            <x v="1"/>
          </reference>
        </references>
      </pivotArea>
    </chartFormat>
    <chartFormat chart="3"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7B1EC4-CF6C-4892-ADEA-34657FC81F86}" name="PivotTable7"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6" firstHeaderRow="0" firstDataRow="1" firstDataCol="1"/>
  <pivotFields count="25">
    <pivotField axis="axisRow" dataField="1"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dataField="1" showAll="0"/>
    <pivotField showAll="0"/>
    <pivotField showAll="0"/>
    <pivotField showAll="0"/>
    <pivotField showAll="0">
      <items count="5">
        <item x="0"/>
        <item x="2"/>
        <item x="3"/>
        <item x="1"/>
        <item t="default"/>
      </items>
    </pivotField>
    <pivotField showAll="0"/>
    <pivotField showAll="0"/>
    <pivotField dataField="1" showAll="0"/>
    <pivotField showAll="0"/>
    <pivotField showAll="0"/>
    <pivotField showAll="0"/>
    <pivotField showAll="0"/>
    <pivotField showAll="0">
      <items count="4">
        <item x="1"/>
        <item x="2"/>
        <item x="0"/>
        <item t="default"/>
      </items>
    </pivotField>
    <pivotField showAll="0"/>
    <pivotField showAll="0"/>
  </pivotFields>
  <rowFields count="1">
    <field x="0"/>
  </rowFields>
  <rowItems count="3">
    <i>
      <x/>
    </i>
    <i>
      <x v="1"/>
    </i>
    <i t="grand">
      <x/>
    </i>
  </rowItems>
  <colFields count="1">
    <field x="-2"/>
  </colFields>
  <colItems count="3">
    <i>
      <x/>
    </i>
    <i i="1">
      <x v="1"/>
    </i>
    <i i="2">
      <x v="2"/>
    </i>
  </colItems>
  <dataFields count="3">
    <dataField name="Count of gender" fld="0" subtotal="count" baseField="0" baseItem="0"/>
    <dataField name="Count of Avenue" fld="17" subtotal="count" baseField="0" baseItem="0"/>
    <dataField name="Count of Stock_Markte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ABDD39-EB4B-474D-8033-8DF386276F40}" name="PivotTable12"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4:H8" firstHeaderRow="1" firstDataRow="1" firstDataCol="1"/>
  <pivotFields count="25">
    <pivotField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showAll="0"/>
    <pivotField axis="axisRow" dataField="1"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items count="4">
        <item x="1"/>
        <item x="2"/>
        <item x="0"/>
        <item t="default"/>
      </items>
    </pivotField>
    <pivotField showAll="0"/>
    <pivotField showAll="0"/>
  </pivotFields>
  <rowFields count="1">
    <field x="11"/>
  </rowFields>
  <rowItems count="4">
    <i>
      <x v="1"/>
    </i>
    <i>
      <x v="2"/>
    </i>
    <i>
      <x/>
    </i>
    <i t="grand">
      <x/>
    </i>
  </rowItems>
  <colItems count="1">
    <i/>
  </colItems>
  <dataFields count="1">
    <dataField name="Count of Factor"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2DCC4F-B494-4841-B372-DEA9F4163267}" name="PivotTable11"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B22" firstHeaderRow="1" firstDataRow="1" firstDataCol="1"/>
  <pivotFields count="25">
    <pivotField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items count="5">
        <item x="0"/>
        <item x="2"/>
        <item x="3"/>
        <item x="1"/>
        <item t="default"/>
      </items>
    </pivotField>
    <pivotField showAll="0"/>
    <pivotField axis="axisRow" dataField="1"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2"/>
        <item x="0"/>
        <item t="default"/>
      </items>
    </pivotField>
    <pivotField showAll="0"/>
    <pivotField showAll="0"/>
  </pivotFields>
  <rowFields count="1">
    <field x="16"/>
  </rowFields>
  <rowItems count="4">
    <i>
      <x v="1"/>
    </i>
    <i>
      <x v="2"/>
    </i>
    <i>
      <x/>
    </i>
    <i t="grand">
      <x/>
    </i>
  </rowItems>
  <colItems count="1">
    <i/>
  </colItems>
  <dataFields count="1">
    <dataField name="Count of Expect"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EC4450-38B3-4EF0-A4B1-F9D6F0344079}" name="PivotTable10"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B15" firstHeaderRow="1" firstDataRow="1" firstDataCol="1"/>
  <pivotFields count="25">
    <pivotField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items count="5">
        <item x="0"/>
        <item x="2"/>
        <item x="3"/>
        <item x="1"/>
        <item t="default"/>
      </items>
    </pivotField>
    <pivotField showAll="0"/>
    <pivotField showAll="0"/>
    <pivotField axis="axisRow" dataField="1"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2"/>
        <item x="0"/>
        <item t="default"/>
      </items>
    </pivotField>
    <pivotField showAll="0"/>
    <pivotField showAll="0"/>
  </pivotFields>
  <rowFields count="1">
    <field x="17"/>
  </rowFields>
  <rowItems count="5">
    <i>
      <x v="1"/>
    </i>
    <i>
      <x v="3"/>
    </i>
    <i>
      <x v="2"/>
    </i>
    <i>
      <x/>
    </i>
    <i t="grand">
      <x/>
    </i>
  </rowItems>
  <colItems count="1">
    <i/>
  </colItems>
  <dataFields count="1">
    <dataField name="Count of Avenue"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E9C076-F885-46B3-9300-CD23BE155F4D}" name="PivotTable9"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rowPageCount="1" colPageCount="1"/>
  <pivotFields count="25">
    <pivotField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axis="axisPage" dataField="1" showAll="0">
      <items count="3">
        <item x="1"/>
        <item x="0"/>
        <item t="default"/>
      </items>
    </pivotField>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items count="4">
        <item x="1"/>
        <item x="2"/>
        <item x="0"/>
        <item t="default"/>
      </items>
    </pivotField>
    <pivotField showAll="0"/>
    <pivotField showAll="0"/>
  </pivotFields>
  <rowItems count="1">
    <i/>
  </rowItems>
  <colItems count="1">
    <i/>
  </colItems>
  <pageFields count="1">
    <pageField fld="10" item="1" hier="-1"/>
  </pageFields>
  <dataFields count="1">
    <dataField name="Count of Stock_Marktet" fld="1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F2632-3BEB-4463-882A-33453FF40712}" name="PivotTable8"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25">
    <pivotField dataField="1" showAll="0">
      <items count="3">
        <item x="0"/>
        <item x="1"/>
        <item t="default"/>
      </items>
    </pivotField>
    <pivotField numFmtId="2" showAll="0"/>
    <pivotField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items count="4">
        <item x="1"/>
        <item x="2"/>
        <item x="0"/>
        <item t="default"/>
      </items>
    </pivotField>
    <pivotField showAll="0"/>
    <pivotField showAll="0"/>
  </pivotFields>
  <rowItems count="1">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F9703BE-CF8E-4CDF-AB2C-465DCFB72D66}" sourceName="gender">
  <pivotTables>
    <pivotTable tabId="9" name="PivotTable12"/>
    <pivotTable tabId="3" name="PivotTable2"/>
    <pivotTable tabId="5" name="PivotTable4"/>
    <pivotTable tabId="8" name="PivotTable7"/>
    <pivotTable tabId="9" name="PivotTable10"/>
    <pivotTable tabId="9" name="PivotTable11"/>
    <pivotTable tabId="9" name="PivotTable8"/>
    <pivotTable tabId="9" name="PivotTable9"/>
    <pivotTable tabId="4" name="PivotTable3"/>
    <pivotTable tabId="7" name="PivotTable6"/>
    <pivotTable tabId="6" name="PivotTable5"/>
  </pivotTables>
  <data>
    <tabular pivotCacheId="21241416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 xr10:uid="{0C0CA44A-5D84-4BDE-B920-B11FED8C9B04}" sourceName="Duration">
  <pivotTables>
    <pivotTable tabId="9" name="PivotTable12"/>
    <pivotTable tabId="3" name="PivotTable2"/>
    <pivotTable tabId="5" name="PivotTable4"/>
    <pivotTable tabId="8" name="PivotTable7"/>
    <pivotTable tabId="9" name="PivotTable10"/>
    <pivotTable tabId="9" name="PivotTable11"/>
    <pivotTable tabId="9" name="PivotTable8"/>
    <pivotTable tabId="9" name="PivotTable9"/>
    <pivotTable tabId="4" name="PivotTable3"/>
    <pivotTable tabId="7" name="PivotTable6"/>
    <pivotTable tabId="6" name="PivotTable5"/>
  </pivotTables>
  <data>
    <tabular pivotCacheId="2124141671">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A4A2E69-1F23-47F7-B3F7-A1459766E560}" sourceName="Age_Group">
  <pivotTables>
    <pivotTable tabId="9" name="PivotTable12"/>
    <pivotTable tabId="3" name="PivotTable2"/>
    <pivotTable tabId="5" name="PivotTable4"/>
    <pivotTable tabId="8" name="PivotTable7"/>
    <pivotTable tabId="9" name="PivotTable10"/>
    <pivotTable tabId="9" name="PivotTable11"/>
    <pivotTable tabId="9" name="PivotTable8"/>
    <pivotTable tabId="9" name="PivotTable9"/>
    <pivotTable tabId="4" name="PivotTable3"/>
    <pivotTable tabId="7" name="PivotTable6"/>
    <pivotTable tabId="6" name="PivotTable5"/>
  </pivotTables>
  <data>
    <tabular pivotCacheId="212414167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C16D33A-2F67-44FD-A590-6BCBC9DD3313}" cache="Slicer_gender" caption="gender" rowHeight="241300"/>
  <slicer name="Duration" xr10:uid="{67C1C8D5-D88B-4A4A-B511-6E3321B3811B}" cache="Slicer_Duration" caption="Duration" rowHeight="241300"/>
  <slicer name="Age_Group" xr10:uid="{204F8B89-81FB-42A8-9FB7-F63DDCCFCBAB}" cache="Slicer_Age_Group" caption="Age_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9401DA4-0002-41A6-AB29-6064CB10E80B}" cache="Slicer_gender" caption="gender" rowHeight="241300"/>
  <slicer name="Duration 1" xr10:uid="{9841A64E-C782-4891-B46D-3E36E287BBAF}" cache="Slicer_Duration" caption="Duration" rowHeight="241300"/>
  <slicer name="Age_Group 1" xr10:uid="{8B3A1A57-5FC2-4BD5-8AA9-6477F1FF05D1}" cache="Slicer_Age_Group" caption="Age_Group"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83FCEC-2960-4D8F-B8D2-5E4AB39C3D61}" name="Investment_Table" displayName="Investment_Table" ref="A1:Y41" totalsRowShown="0">
  <autoFilter ref="A1:Y41" xr:uid="{6E83FCEC-2960-4D8F-B8D2-5E4AB39C3D61}"/>
  <tableColumns count="25">
    <tableColumn id="1" xr3:uid="{E6130E58-B5A9-445E-9351-233C8EB58C89}" name="gender" dataDxfId="14"/>
    <tableColumn id="2" xr3:uid="{9446874F-8EA5-4D7F-9FEB-E39BECBB0CE2}" name="age" dataDxfId="13"/>
    <tableColumn id="3" xr3:uid="{841E8841-386B-40F8-B683-29A4DDAD7460}" name="Investment_Avenues" dataDxfId="3"/>
    <tableColumn id="4" xr3:uid="{3C19ABB5-CA2C-45BE-8293-355BB46CF422}" name="Mutual_Funds" dataDxfId="1"/>
    <tableColumn id="5" xr3:uid="{2CFF7F4C-65A6-4F74-8C2E-3C54AD941158}" name="Equity_Market" dataDxfId="2"/>
    <tableColumn id="6" xr3:uid="{2BB17C3C-302B-42C2-8F91-1966C0B9ED5D}" name="Debentures" dataDxfId="4"/>
    <tableColumn id="7" xr3:uid="{3DAC3417-6302-43DD-9AB5-46617F7DA655}" name="Government_Bonds" dataDxfId="5"/>
    <tableColumn id="8" xr3:uid="{EE9EAC6F-B02C-41B4-B177-ACB2A7FDB538}" name="Fixed_Deposits" dataDxfId="6"/>
    <tableColumn id="9" xr3:uid="{E945A20B-DD95-4ED1-B8CE-70EBDC9AF3DC}" name="PPF" dataDxfId="7"/>
    <tableColumn id="10" xr3:uid="{D9BE5BF9-A9F6-4142-932F-2631F1B9AC26}" name="Gold" dataDxfId="8"/>
    <tableColumn id="11" xr3:uid="{9D31FAD6-F3B7-47DC-8F67-FE831E2AB5FE}" name="Stock_Marktet" dataDxfId="9"/>
    <tableColumn id="12" xr3:uid="{6CC9575A-7625-4172-A2CC-526DD1425130}" name="Factor" dataDxfId="12"/>
    <tableColumn id="13" xr3:uid="{F378A3EA-926B-47E6-BC4E-E02297B9DB76}" name="Objective" dataDxfId="11"/>
    <tableColumn id="14" xr3:uid="{6C3C34AD-6836-4D2E-9C74-62028B832B6C}" name="Purpose" dataDxfId="10"/>
    <tableColumn id="15" xr3:uid="{386BD47B-744B-42F0-8DF8-6A4E028A9307}" name="Duration"/>
    <tableColumn id="16" xr3:uid="{AFCB64EE-A691-439A-AD1A-706155CDE8E6}" name="Invest_Monitor"/>
    <tableColumn id="17" xr3:uid="{93206596-25B8-41C6-B0B4-21C8190C95E9}" name="Expect"/>
    <tableColumn id="18" xr3:uid="{001B43D2-5F92-45F7-9340-9F55FD7F9905}" name="Avenue"/>
    <tableColumn id="19" xr3:uid="{99F6B0A4-CA5C-49C8-A53B-CEC21FAA1367}" name="What are your savings objectives?"/>
    <tableColumn id="20" xr3:uid="{4D5FFD56-DB3B-414C-8832-93DF60C4F58F}" name="Reason_Equity"/>
    <tableColumn id="21" xr3:uid="{56DA7A98-7B75-437F-983B-69F3E067D9F5}" name="Reason_Mutual"/>
    <tableColumn id="22" xr3:uid="{8A3B6429-0900-4925-B1C3-C12B26395077}" name="Reason_Bonds"/>
    <tableColumn id="25" xr3:uid="{8F0A4DBD-CA17-4BAF-B92B-0F6C6640AAF8}" name="Age_Group" dataDxfId="0">
      <calculatedColumnFormula>IF(Investment_Table[[#This Row],[age]]&lt;=25,"Early Adulthood",IF(Investment_Table[[#This Row],[age]]&lt;=30,"Established Adulthood","Experienced Adulthood"))</calculatedColumnFormula>
    </tableColumn>
    <tableColumn id="23" xr3:uid="{E0322972-E18F-412C-976F-23C5E67332F2}" name="Reason_FD"/>
    <tableColumn id="24" xr3:uid="{DFC1932A-D2B2-48A9-9370-C8EDA2B689DA}"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1.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3E189-FFD0-4102-BEC5-768F2E14E020}">
  <dimension ref="A3:D9"/>
  <sheetViews>
    <sheetView workbookViewId="0">
      <selection activeCell="L9" sqref="L9"/>
    </sheetView>
  </sheetViews>
  <sheetFormatPr defaultRowHeight="14.25"/>
  <cols>
    <col min="1" max="1" width="18.875" bestFit="1" customWidth="1"/>
    <col min="2" max="2" width="16.125" bestFit="1" customWidth="1"/>
    <col min="3" max="3" width="5.125" bestFit="1" customWidth="1"/>
    <col min="4" max="4" width="11.375" bestFit="1" customWidth="1"/>
  </cols>
  <sheetData>
    <row r="3" spans="1:4">
      <c r="A3" s="4" t="s">
        <v>72</v>
      </c>
      <c r="B3" s="4" t="s">
        <v>71</v>
      </c>
    </row>
    <row r="4" spans="1:4">
      <c r="A4" s="4" t="s">
        <v>69</v>
      </c>
      <c r="B4" t="s">
        <v>24</v>
      </c>
      <c r="C4" t="s">
        <v>46</v>
      </c>
      <c r="D4" t="s">
        <v>70</v>
      </c>
    </row>
    <row r="5" spans="1:4">
      <c r="A5" s="5" t="s">
        <v>49</v>
      </c>
      <c r="B5" s="6">
        <v>3</v>
      </c>
      <c r="C5" s="6">
        <v>7</v>
      </c>
      <c r="D5" s="6">
        <v>10</v>
      </c>
    </row>
    <row r="6" spans="1:4">
      <c r="A6" s="5" t="s">
        <v>65</v>
      </c>
      <c r="B6" s="6">
        <v>3</v>
      </c>
      <c r="C6" s="6">
        <v>6</v>
      </c>
      <c r="D6" s="6">
        <v>9</v>
      </c>
    </row>
    <row r="7" spans="1:4">
      <c r="A7" s="5" t="s">
        <v>32</v>
      </c>
      <c r="B7" s="6">
        <v>8</v>
      </c>
      <c r="C7" s="6">
        <v>10</v>
      </c>
      <c r="D7" s="6">
        <v>18</v>
      </c>
    </row>
    <row r="8" spans="1:4">
      <c r="A8" s="5" t="s">
        <v>67</v>
      </c>
      <c r="B8" s="6">
        <v>1</v>
      </c>
      <c r="C8" s="6">
        <v>2</v>
      </c>
      <c r="D8" s="6">
        <v>3</v>
      </c>
    </row>
    <row r="9" spans="1:4">
      <c r="A9" s="5" t="s">
        <v>70</v>
      </c>
      <c r="B9" s="6">
        <v>15</v>
      </c>
      <c r="C9" s="6">
        <v>25</v>
      </c>
      <c r="D9" s="6">
        <v>40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25F58-6386-46CA-AB37-B928904E7763}">
  <dimension ref="A3:B7"/>
  <sheetViews>
    <sheetView workbookViewId="0">
      <selection activeCell="J6" sqref="J6"/>
    </sheetView>
  </sheetViews>
  <sheetFormatPr defaultRowHeight="14.25"/>
  <cols>
    <col min="1" max="1" width="19.75" bestFit="1" customWidth="1"/>
    <col min="2" max="2" width="28.125" bestFit="1" customWidth="1"/>
  </cols>
  <sheetData>
    <row r="3" spans="1:2">
      <c r="A3" s="4" t="s">
        <v>69</v>
      </c>
      <c r="B3" t="s">
        <v>76</v>
      </c>
    </row>
    <row r="4" spans="1:2">
      <c r="A4" s="5" t="s">
        <v>73</v>
      </c>
      <c r="B4" s="6">
        <v>10</v>
      </c>
    </row>
    <row r="5" spans="1:2">
      <c r="A5" s="5" t="s">
        <v>74</v>
      </c>
      <c r="B5" s="6">
        <v>21</v>
      </c>
    </row>
    <row r="6" spans="1:2">
      <c r="A6" s="5" t="s">
        <v>75</v>
      </c>
      <c r="B6" s="6">
        <v>9</v>
      </c>
    </row>
    <row r="7" spans="1:2">
      <c r="A7" s="5" t="s">
        <v>70</v>
      </c>
      <c r="B7" s="6">
        <v>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F270-3DD7-4EC3-B273-AD3790F08DFC}">
  <dimension ref="A3:E8"/>
  <sheetViews>
    <sheetView workbookViewId="0">
      <selection activeCell="K20" sqref="K20"/>
    </sheetView>
  </sheetViews>
  <sheetFormatPr defaultRowHeight="14.25"/>
  <cols>
    <col min="1" max="1" width="19.75" bestFit="1" customWidth="1"/>
    <col min="2" max="2" width="16.125" bestFit="1" customWidth="1"/>
    <col min="3" max="3" width="8" bestFit="1" customWidth="1"/>
    <col min="4" max="4" width="4.75" bestFit="1" customWidth="1"/>
    <col min="5" max="5" width="11.375" bestFit="1" customWidth="1"/>
  </cols>
  <sheetData>
    <row r="3" spans="1:5">
      <c r="A3" s="4" t="s">
        <v>77</v>
      </c>
      <c r="B3" s="4" t="s">
        <v>71</v>
      </c>
    </row>
    <row r="4" spans="1:5">
      <c r="A4" s="4" t="s">
        <v>69</v>
      </c>
      <c r="B4" t="s">
        <v>39</v>
      </c>
      <c r="C4" t="s">
        <v>26</v>
      </c>
      <c r="D4" t="s">
        <v>60</v>
      </c>
      <c r="E4" t="s">
        <v>70</v>
      </c>
    </row>
    <row r="5" spans="1:5">
      <c r="A5" s="5" t="s">
        <v>73</v>
      </c>
      <c r="B5" s="6">
        <v>1</v>
      </c>
      <c r="C5" s="6">
        <v>4</v>
      </c>
      <c r="D5" s="6">
        <v>5</v>
      </c>
      <c r="E5" s="6">
        <v>10</v>
      </c>
    </row>
    <row r="6" spans="1:5">
      <c r="A6" s="5" t="s">
        <v>74</v>
      </c>
      <c r="B6" s="6"/>
      <c r="C6" s="6">
        <v>16</v>
      </c>
      <c r="D6" s="6">
        <v>5</v>
      </c>
      <c r="E6" s="6">
        <v>21</v>
      </c>
    </row>
    <row r="7" spans="1:5">
      <c r="A7" s="5" t="s">
        <v>75</v>
      </c>
      <c r="B7" s="6"/>
      <c r="C7" s="6">
        <v>5</v>
      </c>
      <c r="D7" s="6">
        <v>4</v>
      </c>
      <c r="E7" s="6">
        <v>9</v>
      </c>
    </row>
    <row r="8" spans="1:5">
      <c r="A8" s="5" t="s">
        <v>70</v>
      </c>
      <c r="B8" s="6">
        <v>1</v>
      </c>
      <c r="C8" s="6">
        <v>25</v>
      </c>
      <c r="D8" s="6">
        <v>14</v>
      </c>
      <c r="E8" s="6">
        <v>40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00FB-3BDF-4B4B-8073-3CB97BBF7E3A}">
  <dimension ref="A3:E9"/>
  <sheetViews>
    <sheetView topLeftCell="A3" workbookViewId="0">
      <selection activeCell="F6" sqref="F6"/>
    </sheetView>
  </sheetViews>
  <sheetFormatPr defaultRowHeight="14.25"/>
  <cols>
    <col min="1" max="1" width="40.25" bestFit="1" customWidth="1"/>
    <col min="2" max="2" width="16.125" bestFit="1" customWidth="1"/>
    <col min="3" max="3" width="11.375" bestFit="1" customWidth="1"/>
    <col min="4" max="4" width="15.25" bestFit="1" customWidth="1"/>
    <col min="5" max="5" width="11.375" bestFit="1" customWidth="1"/>
  </cols>
  <sheetData>
    <row r="3" spans="1:5">
      <c r="A3" s="4" t="s">
        <v>78</v>
      </c>
      <c r="B3" s="4" t="s">
        <v>71</v>
      </c>
    </row>
    <row r="4" spans="1:5">
      <c r="A4" s="4" t="s">
        <v>69</v>
      </c>
      <c r="B4" t="s">
        <v>66</v>
      </c>
      <c r="C4" t="s">
        <v>42</v>
      </c>
      <c r="D4" t="s">
        <v>33</v>
      </c>
      <c r="E4" t="s">
        <v>70</v>
      </c>
    </row>
    <row r="5" spans="1:5">
      <c r="A5" s="5" t="s">
        <v>29</v>
      </c>
      <c r="B5" s="6">
        <v>3</v>
      </c>
      <c r="C5" s="6">
        <v>6</v>
      </c>
      <c r="D5" s="6">
        <v>9</v>
      </c>
      <c r="E5" s="6">
        <v>18</v>
      </c>
    </row>
    <row r="6" spans="1:5">
      <c r="A6" s="5" t="s">
        <v>47</v>
      </c>
      <c r="B6" s="6"/>
      <c r="C6" s="6">
        <v>6</v>
      </c>
      <c r="D6" s="6">
        <v>13</v>
      </c>
      <c r="E6" s="6">
        <v>19</v>
      </c>
    </row>
    <row r="7" spans="1:5">
      <c r="A7" s="5" t="s">
        <v>54</v>
      </c>
      <c r="B7" s="6"/>
      <c r="C7" s="6"/>
      <c r="D7" s="6">
        <v>2</v>
      </c>
      <c r="E7" s="6">
        <v>2</v>
      </c>
    </row>
    <row r="8" spans="1:5">
      <c r="A8" s="5" t="s">
        <v>40</v>
      </c>
      <c r="B8" s="6"/>
      <c r="C8" s="6">
        <v>1</v>
      </c>
      <c r="D8" s="6"/>
      <c r="E8" s="6">
        <v>1</v>
      </c>
    </row>
    <row r="9" spans="1:5">
      <c r="A9" s="5" t="s">
        <v>70</v>
      </c>
      <c r="B9" s="6">
        <v>3</v>
      </c>
      <c r="C9" s="6">
        <v>13</v>
      </c>
      <c r="D9" s="6">
        <v>24</v>
      </c>
      <c r="E9" s="6">
        <v>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3E00-E73D-4938-9321-4DE5A743841D}">
  <dimension ref="A3:E8"/>
  <sheetViews>
    <sheetView workbookViewId="0">
      <selection activeCell="J16" sqref="J16"/>
    </sheetView>
  </sheetViews>
  <sheetFormatPr defaultRowHeight="14.25"/>
  <cols>
    <col min="1" max="1" width="23.125" bestFit="1" customWidth="1"/>
    <col min="2" max="2" width="16.125" bestFit="1" customWidth="1"/>
    <col min="3" max="3" width="19" bestFit="1" customWidth="1"/>
    <col min="4" max="4" width="12.125" bestFit="1" customWidth="1"/>
    <col min="5" max="5" width="11.375" bestFit="1" customWidth="1"/>
  </cols>
  <sheetData>
    <row r="3" spans="1:5">
      <c r="A3" s="4" t="s">
        <v>79</v>
      </c>
      <c r="B3" s="4" t="s">
        <v>71</v>
      </c>
    </row>
    <row r="4" spans="1:5">
      <c r="A4" s="4" t="s">
        <v>69</v>
      </c>
      <c r="B4" t="s">
        <v>34</v>
      </c>
      <c r="C4" t="s">
        <v>56</v>
      </c>
      <c r="D4" t="s">
        <v>50</v>
      </c>
      <c r="E4" t="s">
        <v>70</v>
      </c>
    </row>
    <row r="5" spans="1:5">
      <c r="A5" s="5" t="s">
        <v>55</v>
      </c>
      <c r="B5" s="6"/>
      <c r="C5" s="6">
        <v>1</v>
      </c>
      <c r="D5" s="6">
        <v>2</v>
      </c>
      <c r="E5" s="6">
        <v>3</v>
      </c>
    </row>
    <row r="6" spans="1:5">
      <c r="A6" s="5" t="s">
        <v>31</v>
      </c>
      <c r="B6" s="6">
        <v>22</v>
      </c>
      <c r="C6" s="6">
        <v>9</v>
      </c>
      <c r="D6" s="6">
        <v>1</v>
      </c>
      <c r="E6" s="6">
        <v>32</v>
      </c>
    </row>
    <row r="7" spans="1:5">
      <c r="A7" s="5" t="s">
        <v>61</v>
      </c>
      <c r="B7" s="6">
        <v>2</v>
      </c>
      <c r="C7" s="6">
        <v>3</v>
      </c>
      <c r="D7" s="6"/>
      <c r="E7" s="6">
        <v>5</v>
      </c>
    </row>
    <row r="8" spans="1:5">
      <c r="A8" s="5" t="s">
        <v>70</v>
      </c>
      <c r="B8" s="6">
        <v>24</v>
      </c>
      <c r="C8" s="6">
        <v>13</v>
      </c>
      <c r="D8" s="6">
        <v>3</v>
      </c>
      <c r="E8" s="6">
        <v>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D322-3384-4488-AEC7-5CED985289BE}">
  <dimension ref="A3:D6"/>
  <sheetViews>
    <sheetView workbookViewId="0">
      <selection activeCell="A3" sqref="A3"/>
    </sheetView>
  </sheetViews>
  <sheetFormatPr defaultRowHeight="14.25"/>
  <cols>
    <col min="1" max="1" width="13.125" bestFit="1" customWidth="1"/>
    <col min="2" max="2" width="15.5" bestFit="1" customWidth="1"/>
    <col min="3" max="3" width="15.875" bestFit="1" customWidth="1"/>
    <col min="4" max="4" width="22.125" bestFit="1" customWidth="1"/>
  </cols>
  <sheetData>
    <row r="3" spans="1:4">
      <c r="A3" s="4" t="s">
        <v>69</v>
      </c>
      <c r="B3" t="s">
        <v>80</v>
      </c>
      <c r="C3" t="s">
        <v>72</v>
      </c>
      <c r="D3" t="s">
        <v>81</v>
      </c>
    </row>
    <row r="4" spans="1:4">
      <c r="A4" s="5" t="s">
        <v>24</v>
      </c>
      <c r="B4" s="6">
        <v>15</v>
      </c>
      <c r="C4" s="6">
        <v>15</v>
      </c>
      <c r="D4" s="6">
        <v>15</v>
      </c>
    </row>
    <row r="5" spans="1:4">
      <c r="A5" s="5" t="s">
        <v>46</v>
      </c>
      <c r="B5" s="6">
        <v>25</v>
      </c>
      <c r="C5" s="6">
        <v>25</v>
      </c>
      <c r="D5" s="6">
        <v>25</v>
      </c>
    </row>
    <row r="6" spans="1:4">
      <c r="A6" s="5" t="s">
        <v>70</v>
      </c>
      <c r="B6" s="6">
        <v>40</v>
      </c>
      <c r="C6" s="6">
        <v>40</v>
      </c>
      <c r="D6" s="6">
        <v>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7F4FB-02FB-4E79-8818-D80A0E5381AE}">
  <dimension ref="A1:H22"/>
  <sheetViews>
    <sheetView workbookViewId="0">
      <selection activeCell="I18" sqref="I18"/>
    </sheetView>
  </sheetViews>
  <sheetFormatPr defaultRowHeight="14.25"/>
  <cols>
    <col min="1" max="1" width="22.125" bestFit="1" customWidth="1"/>
    <col min="2" max="2" width="6" bestFit="1" customWidth="1"/>
    <col min="7" max="7" width="13.125" bestFit="1" customWidth="1"/>
    <col min="8" max="8" width="14.75" bestFit="1" customWidth="1"/>
  </cols>
  <sheetData>
    <row r="1" spans="1:8">
      <c r="A1" t="s">
        <v>80</v>
      </c>
    </row>
    <row r="2" spans="1:8">
      <c r="A2" s="6">
        <v>40</v>
      </c>
    </row>
    <row r="4" spans="1:8">
      <c r="A4" s="4" t="s">
        <v>10</v>
      </c>
      <c r="B4" t="s">
        <v>25</v>
      </c>
      <c r="G4" s="4" t="s">
        <v>69</v>
      </c>
      <c r="H4" t="s">
        <v>77</v>
      </c>
    </row>
    <row r="5" spans="1:8">
      <c r="G5" s="5" t="s">
        <v>26</v>
      </c>
      <c r="H5" s="6">
        <v>25</v>
      </c>
    </row>
    <row r="6" spans="1:8">
      <c r="A6" t="s">
        <v>81</v>
      </c>
      <c r="G6" s="5" t="s">
        <v>60</v>
      </c>
      <c r="H6" s="6">
        <v>14</v>
      </c>
    </row>
    <row r="7" spans="1:8">
      <c r="A7" s="6">
        <v>35</v>
      </c>
      <c r="G7" s="5" t="s">
        <v>39</v>
      </c>
      <c r="H7" s="6">
        <v>1</v>
      </c>
    </row>
    <row r="8" spans="1:8">
      <c r="C8" s="7">
        <f>A7/A2</f>
        <v>0.875</v>
      </c>
      <c r="G8" s="5" t="s">
        <v>70</v>
      </c>
      <c r="H8" s="6">
        <v>40</v>
      </c>
    </row>
    <row r="10" spans="1:8">
      <c r="A10" s="4" t="s">
        <v>69</v>
      </c>
      <c r="B10" t="s">
        <v>72</v>
      </c>
    </row>
    <row r="11" spans="1:8">
      <c r="A11" s="5" t="s">
        <v>32</v>
      </c>
      <c r="B11" s="6">
        <v>18</v>
      </c>
    </row>
    <row r="12" spans="1:8">
      <c r="A12" s="5" t="s">
        <v>49</v>
      </c>
      <c r="B12" s="6">
        <v>10</v>
      </c>
    </row>
    <row r="13" spans="1:8">
      <c r="A13" s="5" t="s">
        <v>65</v>
      </c>
      <c r="B13" s="6">
        <v>9</v>
      </c>
    </row>
    <row r="14" spans="1:8">
      <c r="A14" s="5" t="s">
        <v>67</v>
      </c>
      <c r="B14" s="6">
        <v>3</v>
      </c>
    </row>
    <row r="15" spans="1:8">
      <c r="A15" s="5" t="s">
        <v>70</v>
      </c>
      <c r="B15" s="6">
        <v>40</v>
      </c>
    </row>
    <row r="18" spans="1:2">
      <c r="A18" s="4" t="s">
        <v>69</v>
      </c>
      <c r="B18" t="s">
        <v>82</v>
      </c>
    </row>
    <row r="19" spans="1:2">
      <c r="A19" s="5" t="s">
        <v>31</v>
      </c>
      <c r="B19" s="6">
        <v>32</v>
      </c>
    </row>
    <row r="20" spans="1:2">
      <c r="A20" s="5" t="s">
        <v>61</v>
      </c>
      <c r="B20" s="6">
        <v>5</v>
      </c>
    </row>
    <row r="21" spans="1:2">
      <c r="A21" s="5" t="s">
        <v>55</v>
      </c>
      <c r="B21" s="6">
        <v>3</v>
      </c>
    </row>
    <row r="22" spans="1:2">
      <c r="A22" s="5" t="s">
        <v>70</v>
      </c>
      <c r="B22" s="6">
        <v>40</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0CCA9-3CA2-4837-831D-58B0DDC22EDA}">
  <dimension ref="A1:Y41"/>
  <sheetViews>
    <sheetView topLeftCell="A2" workbookViewId="0">
      <selection activeCell="E11" sqref="E11"/>
    </sheetView>
  </sheetViews>
  <sheetFormatPr defaultRowHeight="14.25"/>
  <cols>
    <col min="1" max="1" width="9.125" style="1" customWidth="1"/>
    <col min="2" max="2" width="9" style="2"/>
    <col min="3" max="3" width="21.375" style="1" customWidth="1"/>
    <col min="4" max="4" width="15.25" style="3" customWidth="1"/>
    <col min="5" max="5" width="15.375" style="3" customWidth="1"/>
    <col min="6" max="6" width="13.25" style="3" customWidth="1"/>
    <col min="7" max="7" width="20.625" style="3" customWidth="1"/>
    <col min="8" max="8" width="16.5" style="3" customWidth="1"/>
    <col min="9" max="10" width="9" style="3"/>
    <col min="11" max="11" width="15.5" style="1" customWidth="1"/>
    <col min="12" max="12" width="13" style="1" bestFit="1" customWidth="1"/>
    <col min="13" max="13" width="17.25" style="1" bestFit="1" customWidth="1"/>
    <col min="14" max="14" width="15.875" style="1" bestFit="1" customWidth="1"/>
    <col min="15" max="15" width="15.5" bestFit="1" customWidth="1"/>
    <col min="16" max="16" width="16.125" customWidth="1"/>
    <col min="18" max="18" width="18.875" bestFit="1" customWidth="1"/>
    <col min="19" max="19" width="33.875" bestFit="1" customWidth="1"/>
    <col min="20" max="20" width="17.25" bestFit="1" customWidth="1"/>
    <col min="21" max="21" width="17.125" bestFit="1" customWidth="1"/>
    <col min="22" max="22" width="16.25" customWidth="1"/>
    <col min="23" max="23" width="19.75" bestFit="1" customWidth="1"/>
    <col min="24" max="24" width="16.5" bestFit="1" customWidth="1"/>
    <col min="25" max="25" width="24.25" bestFit="1" customWidth="1"/>
  </cols>
  <sheetData>
    <row r="1" spans="1:25">
      <c r="A1" s="1" t="s">
        <v>0</v>
      </c>
      <c r="B1" s="2" t="s">
        <v>1</v>
      </c>
      <c r="C1" s="1" t="s">
        <v>2</v>
      </c>
      <c r="D1" s="3" t="s">
        <v>3</v>
      </c>
      <c r="E1" s="3" t="s">
        <v>4</v>
      </c>
      <c r="F1" s="3" t="s">
        <v>5</v>
      </c>
      <c r="G1" s="3" t="s">
        <v>6</v>
      </c>
      <c r="H1" s="3" t="s">
        <v>7</v>
      </c>
      <c r="I1" s="3" t="s">
        <v>8</v>
      </c>
      <c r="J1" s="3" t="s">
        <v>9</v>
      </c>
      <c r="K1" s="1" t="s">
        <v>10</v>
      </c>
      <c r="L1" s="1" t="s">
        <v>11</v>
      </c>
      <c r="M1" s="1" t="s">
        <v>12</v>
      </c>
      <c r="N1" s="1" t="s">
        <v>13</v>
      </c>
      <c r="O1" t="s">
        <v>14</v>
      </c>
      <c r="P1" t="s">
        <v>15</v>
      </c>
      <c r="Q1" t="s">
        <v>16</v>
      </c>
      <c r="R1" t="s">
        <v>17</v>
      </c>
      <c r="S1" t="s">
        <v>18</v>
      </c>
      <c r="T1" t="s">
        <v>19</v>
      </c>
      <c r="U1" t="s">
        <v>20</v>
      </c>
      <c r="V1" t="s">
        <v>21</v>
      </c>
      <c r="W1" t="s">
        <v>68</v>
      </c>
      <c r="X1" t="s">
        <v>22</v>
      </c>
      <c r="Y1" t="s">
        <v>23</v>
      </c>
    </row>
    <row r="2" spans="1:25">
      <c r="A2" s="1" t="s">
        <v>24</v>
      </c>
      <c r="B2" s="2">
        <v>34</v>
      </c>
      <c r="C2" s="1" t="s">
        <v>25</v>
      </c>
      <c r="D2" s="3">
        <v>1</v>
      </c>
      <c r="E2" s="3">
        <v>2</v>
      </c>
      <c r="F2" s="3">
        <v>5</v>
      </c>
      <c r="G2" s="3">
        <v>3</v>
      </c>
      <c r="H2" s="3">
        <v>7</v>
      </c>
      <c r="I2" s="3">
        <v>6</v>
      </c>
      <c r="J2" s="3">
        <v>4</v>
      </c>
      <c r="K2" s="1" t="s">
        <v>25</v>
      </c>
      <c r="L2" s="1" t="s">
        <v>26</v>
      </c>
      <c r="M2" s="1" t="s">
        <v>27</v>
      </c>
      <c r="N2" s="1" t="s">
        <v>28</v>
      </c>
      <c r="O2" t="s">
        <v>29</v>
      </c>
      <c r="P2" t="s">
        <v>30</v>
      </c>
      <c r="Q2" t="s">
        <v>31</v>
      </c>
      <c r="R2" t="s">
        <v>32</v>
      </c>
      <c r="S2" t="s">
        <v>33</v>
      </c>
      <c r="T2" t="s">
        <v>27</v>
      </c>
      <c r="U2" t="s">
        <v>34</v>
      </c>
      <c r="V2" t="s">
        <v>35</v>
      </c>
      <c r="W2" t="str">
        <f>IF(Investment_Table[[#This Row],[age]]&lt;=25,"Early Adulthood",IF(Investment_Table[[#This Row],[age]]&lt;=30,"Established Adulthood","Experienced Adulthood"))</f>
        <v>Experienced Adulthood</v>
      </c>
      <c r="X2" t="s">
        <v>36</v>
      </c>
      <c r="Y2" t="s">
        <v>37</v>
      </c>
    </row>
    <row r="3" spans="1:25">
      <c r="A3" s="1" t="s">
        <v>24</v>
      </c>
      <c r="B3" s="2">
        <v>23</v>
      </c>
      <c r="C3" s="1" t="s">
        <v>25</v>
      </c>
      <c r="D3" s="3">
        <v>4</v>
      </c>
      <c r="E3" s="3">
        <v>3</v>
      </c>
      <c r="F3" s="3">
        <v>2</v>
      </c>
      <c r="G3" s="3">
        <v>1</v>
      </c>
      <c r="H3" s="3">
        <v>5</v>
      </c>
      <c r="I3" s="3">
        <v>6</v>
      </c>
      <c r="J3" s="3">
        <v>7</v>
      </c>
      <c r="K3" s="1" t="s">
        <v>38</v>
      </c>
      <c r="L3" s="1" t="s">
        <v>39</v>
      </c>
      <c r="M3" s="1" t="s">
        <v>27</v>
      </c>
      <c r="N3" s="1" t="s">
        <v>28</v>
      </c>
      <c r="O3" t="s">
        <v>40</v>
      </c>
      <c r="P3" t="s">
        <v>41</v>
      </c>
      <c r="Q3" t="s">
        <v>31</v>
      </c>
      <c r="R3" t="s">
        <v>32</v>
      </c>
      <c r="S3" t="s">
        <v>42</v>
      </c>
      <c r="T3" t="s">
        <v>43</v>
      </c>
      <c r="U3" t="s">
        <v>34</v>
      </c>
      <c r="V3" t="s">
        <v>35</v>
      </c>
      <c r="W3" t="str">
        <f>IF(Investment_Table[[#This Row],[age]]&lt;=25,"Early Adulthood",IF(Investment_Table[[#This Row],[age]]&lt;=30,"Established Adulthood","Experienced Adulthood"))</f>
        <v>Early Adulthood</v>
      </c>
      <c r="X3" t="s">
        <v>44</v>
      </c>
      <c r="Y3" t="s">
        <v>45</v>
      </c>
    </row>
    <row r="4" spans="1:25">
      <c r="A4" s="1" t="s">
        <v>46</v>
      </c>
      <c r="B4" s="2">
        <v>30</v>
      </c>
      <c r="C4" s="1" t="s">
        <v>25</v>
      </c>
      <c r="D4" s="3">
        <v>3</v>
      </c>
      <c r="E4" s="3">
        <v>6</v>
      </c>
      <c r="F4" s="3">
        <v>4</v>
      </c>
      <c r="G4" s="3">
        <v>2</v>
      </c>
      <c r="H4" s="3">
        <v>5</v>
      </c>
      <c r="I4" s="3">
        <v>1</v>
      </c>
      <c r="J4" s="3">
        <v>7</v>
      </c>
      <c r="K4" s="1" t="s">
        <v>25</v>
      </c>
      <c r="L4" s="1" t="s">
        <v>26</v>
      </c>
      <c r="M4" s="1" t="s">
        <v>27</v>
      </c>
      <c r="N4" s="1" t="s">
        <v>28</v>
      </c>
      <c r="O4" t="s">
        <v>47</v>
      </c>
      <c r="P4" t="s">
        <v>48</v>
      </c>
      <c r="Q4" t="s">
        <v>31</v>
      </c>
      <c r="R4" t="s">
        <v>49</v>
      </c>
      <c r="S4" t="s">
        <v>33</v>
      </c>
      <c r="T4" t="s">
        <v>27</v>
      </c>
      <c r="U4" t="s">
        <v>50</v>
      </c>
      <c r="V4" t="s">
        <v>51</v>
      </c>
      <c r="W4" t="str">
        <f>IF(Investment_Table[[#This Row],[age]]&lt;=25,"Early Adulthood",IF(Investment_Table[[#This Row],[age]]&lt;=30,"Established Adulthood","Experienced Adulthood"))</f>
        <v>Established Adulthood</v>
      </c>
      <c r="X4" t="s">
        <v>36</v>
      </c>
      <c r="Y4" t="s">
        <v>52</v>
      </c>
    </row>
    <row r="5" spans="1:25">
      <c r="A5" s="1" t="s">
        <v>46</v>
      </c>
      <c r="B5" s="2">
        <v>22</v>
      </c>
      <c r="C5" s="1" t="s">
        <v>25</v>
      </c>
      <c r="D5" s="3">
        <v>2</v>
      </c>
      <c r="E5" s="3">
        <v>1</v>
      </c>
      <c r="F5" s="3">
        <v>3</v>
      </c>
      <c r="G5" s="3">
        <v>7</v>
      </c>
      <c r="H5" s="3">
        <v>6</v>
      </c>
      <c r="I5" s="3">
        <v>4</v>
      </c>
      <c r="J5" s="3">
        <v>5</v>
      </c>
      <c r="K5" s="1" t="s">
        <v>25</v>
      </c>
      <c r="L5" s="1" t="s">
        <v>26</v>
      </c>
      <c r="M5" s="1" t="s">
        <v>53</v>
      </c>
      <c r="N5" s="1" t="s">
        <v>28</v>
      </c>
      <c r="O5" t="s">
        <v>54</v>
      </c>
      <c r="P5" t="s">
        <v>48</v>
      </c>
      <c r="Q5" t="s">
        <v>55</v>
      </c>
      <c r="R5" t="s">
        <v>49</v>
      </c>
      <c r="S5" t="s">
        <v>33</v>
      </c>
      <c r="T5" t="s">
        <v>43</v>
      </c>
      <c r="U5" t="s">
        <v>56</v>
      </c>
      <c r="V5" t="s">
        <v>57</v>
      </c>
      <c r="W5" t="str">
        <f>IF(Investment_Table[[#This Row],[age]]&lt;=25,"Early Adulthood",IF(Investment_Table[[#This Row],[age]]&lt;=30,"Established Adulthood","Experienced Adulthood"))</f>
        <v>Early Adulthood</v>
      </c>
      <c r="X5" t="s">
        <v>44</v>
      </c>
      <c r="Y5" t="s">
        <v>58</v>
      </c>
    </row>
    <row r="6" spans="1:25">
      <c r="A6" s="1" t="s">
        <v>24</v>
      </c>
      <c r="B6" s="2">
        <v>24</v>
      </c>
      <c r="C6" s="1" t="s">
        <v>38</v>
      </c>
      <c r="D6" s="3">
        <v>2</v>
      </c>
      <c r="E6" s="3">
        <v>1</v>
      </c>
      <c r="F6" s="3">
        <v>3</v>
      </c>
      <c r="G6" s="3">
        <v>6</v>
      </c>
      <c r="H6" s="3">
        <v>4</v>
      </c>
      <c r="I6" s="3">
        <v>5</v>
      </c>
      <c r="J6" s="3">
        <v>7</v>
      </c>
      <c r="K6" s="1" t="s">
        <v>38</v>
      </c>
      <c r="L6" s="1" t="s">
        <v>26</v>
      </c>
      <c r="M6" s="1" t="s">
        <v>53</v>
      </c>
      <c r="N6" s="1" t="s">
        <v>28</v>
      </c>
      <c r="O6" t="s">
        <v>54</v>
      </c>
      <c r="P6" t="s">
        <v>48</v>
      </c>
      <c r="Q6" t="s">
        <v>31</v>
      </c>
      <c r="R6" t="s">
        <v>49</v>
      </c>
      <c r="S6" t="s">
        <v>33</v>
      </c>
      <c r="T6" t="s">
        <v>27</v>
      </c>
      <c r="U6" t="s">
        <v>34</v>
      </c>
      <c r="V6" t="s">
        <v>35</v>
      </c>
      <c r="W6" t="str">
        <f>IF(Investment_Table[[#This Row],[age]]&lt;=25,"Early Adulthood",IF(Investment_Table[[#This Row],[age]]&lt;=30,"Established Adulthood","Experienced Adulthood"))</f>
        <v>Early Adulthood</v>
      </c>
      <c r="X6" t="s">
        <v>59</v>
      </c>
      <c r="Y6" t="s">
        <v>58</v>
      </c>
    </row>
    <row r="7" spans="1:25">
      <c r="A7" s="1" t="s">
        <v>24</v>
      </c>
      <c r="B7" s="2">
        <v>24</v>
      </c>
      <c r="C7" s="1" t="s">
        <v>38</v>
      </c>
      <c r="D7" s="3">
        <v>7</v>
      </c>
      <c r="E7" s="3">
        <v>5</v>
      </c>
      <c r="F7" s="3">
        <v>4</v>
      </c>
      <c r="G7" s="3">
        <v>6</v>
      </c>
      <c r="H7" s="3">
        <v>3</v>
      </c>
      <c r="I7" s="3">
        <v>1</v>
      </c>
      <c r="J7" s="3">
        <v>2</v>
      </c>
      <c r="K7" s="1" t="s">
        <v>38</v>
      </c>
      <c r="L7" s="1" t="s">
        <v>60</v>
      </c>
      <c r="M7" s="1" t="s">
        <v>27</v>
      </c>
      <c r="N7" s="1" t="s">
        <v>28</v>
      </c>
      <c r="O7" t="s">
        <v>29</v>
      </c>
      <c r="P7" t="s">
        <v>48</v>
      </c>
      <c r="Q7" t="s">
        <v>61</v>
      </c>
      <c r="R7" t="s">
        <v>32</v>
      </c>
      <c r="S7" t="s">
        <v>33</v>
      </c>
      <c r="T7" t="s">
        <v>62</v>
      </c>
      <c r="U7" t="s">
        <v>56</v>
      </c>
      <c r="V7" t="s">
        <v>35</v>
      </c>
      <c r="W7" t="str">
        <f>IF(Investment_Table[[#This Row],[age]]&lt;=25,"Early Adulthood",IF(Investment_Table[[#This Row],[age]]&lt;=30,"Established Adulthood","Experienced Adulthood"))</f>
        <v>Early Adulthood</v>
      </c>
      <c r="X7" t="s">
        <v>59</v>
      </c>
      <c r="Y7" t="s">
        <v>58</v>
      </c>
    </row>
    <row r="8" spans="1:25">
      <c r="A8" s="1" t="s">
        <v>24</v>
      </c>
      <c r="B8" s="2">
        <v>27</v>
      </c>
      <c r="C8" s="1" t="s">
        <v>25</v>
      </c>
      <c r="D8" s="3">
        <v>3</v>
      </c>
      <c r="E8" s="3">
        <v>6</v>
      </c>
      <c r="F8" s="3">
        <v>4</v>
      </c>
      <c r="G8" s="3">
        <v>2</v>
      </c>
      <c r="H8" s="3">
        <v>5</v>
      </c>
      <c r="I8" s="3">
        <v>1</v>
      </c>
      <c r="J8" s="3">
        <v>7</v>
      </c>
      <c r="K8" s="1" t="s">
        <v>25</v>
      </c>
      <c r="L8" s="1" t="s">
        <v>26</v>
      </c>
      <c r="M8" s="1" t="s">
        <v>27</v>
      </c>
      <c r="N8" s="1" t="s">
        <v>28</v>
      </c>
      <c r="O8" t="s">
        <v>47</v>
      </c>
      <c r="P8" t="s">
        <v>30</v>
      </c>
      <c r="Q8" t="s">
        <v>31</v>
      </c>
      <c r="R8" t="s">
        <v>49</v>
      </c>
      <c r="S8" t="s">
        <v>33</v>
      </c>
      <c r="T8" t="s">
        <v>27</v>
      </c>
      <c r="U8" t="s">
        <v>34</v>
      </c>
      <c r="V8" t="s">
        <v>51</v>
      </c>
      <c r="W8" t="str">
        <f>IF(Investment_Table[[#This Row],[age]]&lt;=25,"Early Adulthood",IF(Investment_Table[[#This Row],[age]]&lt;=30,"Established Adulthood","Experienced Adulthood"))</f>
        <v>Established Adulthood</v>
      </c>
      <c r="X8" t="s">
        <v>44</v>
      </c>
      <c r="Y8" t="s">
        <v>45</v>
      </c>
    </row>
    <row r="9" spans="1:25">
      <c r="A9" s="1" t="s">
        <v>46</v>
      </c>
      <c r="B9" s="2">
        <v>21</v>
      </c>
      <c r="C9" s="1" t="s">
        <v>25</v>
      </c>
      <c r="D9" s="3">
        <v>2</v>
      </c>
      <c r="E9" s="3">
        <v>3</v>
      </c>
      <c r="F9" s="3">
        <v>7</v>
      </c>
      <c r="G9" s="3">
        <v>4</v>
      </c>
      <c r="H9" s="3">
        <v>6</v>
      </c>
      <c r="I9" s="3">
        <v>1</v>
      </c>
      <c r="J9" s="3">
        <v>5</v>
      </c>
      <c r="K9" s="1" t="s">
        <v>25</v>
      </c>
      <c r="L9" s="1" t="s">
        <v>60</v>
      </c>
      <c r="M9" s="1" t="s">
        <v>27</v>
      </c>
      <c r="N9" s="1" t="s">
        <v>28</v>
      </c>
      <c r="O9" t="s">
        <v>47</v>
      </c>
      <c r="P9" t="s">
        <v>30</v>
      </c>
      <c r="Q9" t="s">
        <v>31</v>
      </c>
      <c r="R9" t="s">
        <v>32</v>
      </c>
      <c r="S9" t="s">
        <v>33</v>
      </c>
      <c r="T9" t="s">
        <v>27</v>
      </c>
      <c r="U9" t="s">
        <v>34</v>
      </c>
      <c r="V9" t="s">
        <v>51</v>
      </c>
      <c r="W9" t="str">
        <f>IF(Investment_Table[[#This Row],[age]]&lt;=25,"Early Adulthood",IF(Investment_Table[[#This Row],[age]]&lt;=30,"Established Adulthood","Experienced Adulthood"))</f>
        <v>Early Adulthood</v>
      </c>
      <c r="X9" t="s">
        <v>59</v>
      </c>
      <c r="Y9" t="s">
        <v>37</v>
      </c>
    </row>
    <row r="10" spans="1:25">
      <c r="A10" s="1" t="s">
        <v>46</v>
      </c>
      <c r="B10" s="2">
        <v>35</v>
      </c>
      <c r="C10" s="1" t="s">
        <v>25</v>
      </c>
      <c r="D10" s="3">
        <v>2</v>
      </c>
      <c r="E10" s="3">
        <v>4</v>
      </c>
      <c r="F10" s="3">
        <v>7</v>
      </c>
      <c r="G10" s="3">
        <v>5</v>
      </c>
      <c r="H10" s="3">
        <v>3</v>
      </c>
      <c r="I10" s="3">
        <v>1</v>
      </c>
      <c r="J10" s="3">
        <v>6</v>
      </c>
      <c r="K10" s="1" t="s">
        <v>25</v>
      </c>
      <c r="L10" s="1" t="s">
        <v>26</v>
      </c>
      <c r="M10" s="1" t="s">
        <v>63</v>
      </c>
      <c r="N10" s="1" t="s">
        <v>64</v>
      </c>
      <c r="O10" t="s">
        <v>29</v>
      </c>
      <c r="P10" t="s">
        <v>41</v>
      </c>
      <c r="Q10" t="s">
        <v>31</v>
      </c>
      <c r="R10" t="s">
        <v>49</v>
      </c>
      <c r="S10" t="s">
        <v>33</v>
      </c>
      <c r="T10" t="s">
        <v>27</v>
      </c>
      <c r="U10" t="s">
        <v>56</v>
      </c>
      <c r="V10" t="s">
        <v>35</v>
      </c>
      <c r="W10" t="str">
        <f>IF(Investment_Table[[#This Row],[age]]&lt;=25,"Early Adulthood",IF(Investment_Table[[#This Row],[age]]&lt;=30,"Established Adulthood","Experienced Adulthood"))</f>
        <v>Experienced Adulthood</v>
      </c>
      <c r="X10" t="s">
        <v>36</v>
      </c>
      <c r="Y10" t="s">
        <v>52</v>
      </c>
    </row>
    <row r="11" spans="1:25">
      <c r="A11" s="1" t="s">
        <v>46</v>
      </c>
      <c r="B11" s="2">
        <v>31</v>
      </c>
      <c r="C11" s="1" t="s">
        <v>25</v>
      </c>
      <c r="D11" s="3">
        <v>1</v>
      </c>
      <c r="E11" s="3">
        <v>3</v>
      </c>
      <c r="F11" s="3">
        <v>7</v>
      </c>
      <c r="G11" s="3">
        <v>4</v>
      </c>
      <c r="H11" s="3">
        <v>5</v>
      </c>
      <c r="I11" s="3">
        <v>2</v>
      </c>
      <c r="J11" s="3">
        <v>6</v>
      </c>
      <c r="K11" s="1" t="s">
        <v>25</v>
      </c>
      <c r="L11" s="1" t="s">
        <v>26</v>
      </c>
      <c r="M11" s="1" t="s">
        <v>27</v>
      </c>
      <c r="N11" s="1" t="s">
        <v>28</v>
      </c>
      <c r="O11" t="s">
        <v>47</v>
      </c>
      <c r="P11" t="s">
        <v>30</v>
      </c>
      <c r="Q11" t="s">
        <v>61</v>
      </c>
      <c r="R11" t="s">
        <v>65</v>
      </c>
      <c r="S11" t="s">
        <v>33</v>
      </c>
      <c r="T11" t="s">
        <v>27</v>
      </c>
      <c r="U11" t="s">
        <v>56</v>
      </c>
      <c r="V11" t="s">
        <v>51</v>
      </c>
      <c r="W11" t="str">
        <f>IF(Investment_Table[[#This Row],[age]]&lt;=25,"Early Adulthood",IF(Investment_Table[[#This Row],[age]]&lt;=30,"Established Adulthood","Experienced Adulthood"))</f>
        <v>Experienced Adulthood</v>
      </c>
      <c r="X11" t="s">
        <v>36</v>
      </c>
      <c r="Y11" t="s">
        <v>37</v>
      </c>
    </row>
    <row r="12" spans="1:25">
      <c r="A12" s="1" t="s">
        <v>24</v>
      </c>
      <c r="B12" s="2">
        <v>35</v>
      </c>
      <c r="C12" s="1" t="s">
        <v>25</v>
      </c>
      <c r="D12" s="3">
        <v>2</v>
      </c>
      <c r="E12" s="3">
        <v>4</v>
      </c>
      <c r="F12" s="3">
        <v>7</v>
      </c>
      <c r="G12" s="3">
        <v>5</v>
      </c>
      <c r="H12" s="3">
        <v>3</v>
      </c>
      <c r="I12" s="3">
        <v>1</v>
      </c>
      <c r="J12" s="3">
        <v>6</v>
      </c>
      <c r="K12" s="1" t="s">
        <v>25</v>
      </c>
      <c r="L12" s="1" t="s">
        <v>60</v>
      </c>
      <c r="M12" s="1" t="s">
        <v>63</v>
      </c>
      <c r="N12" s="1" t="s">
        <v>64</v>
      </c>
      <c r="O12" t="s">
        <v>47</v>
      </c>
      <c r="P12" t="s">
        <v>30</v>
      </c>
      <c r="Q12" t="s">
        <v>31</v>
      </c>
      <c r="R12" t="s">
        <v>32</v>
      </c>
      <c r="S12" t="s">
        <v>33</v>
      </c>
      <c r="T12" t="s">
        <v>27</v>
      </c>
      <c r="U12" t="s">
        <v>34</v>
      </c>
      <c r="V12" t="s">
        <v>51</v>
      </c>
      <c r="W12" t="str">
        <f>IF(Investment_Table[[#This Row],[age]]&lt;=25,"Early Adulthood",IF(Investment_Table[[#This Row],[age]]&lt;=30,"Established Adulthood","Experienced Adulthood"))</f>
        <v>Experienced Adulthood</v>
      </c>
      <c r="X12" t="s">
        <v>59</v>
      </c>
      <c r="Y12" t="s">
        <v>45</v>
      </c>
    </row>
    <row r="13" spans="1:25">
      <c r="A13" s="1" t="s">
        <v>46</v>
      </c>
      <c r="B13" s="2">
        <v>29</v>
      </c>
      <c r="C13" s="1" t="s">
        <v>25</v>
      </c>
      <c r="D13" s="3">
        <v>2</v>
      </c>
      <c r="E13" s="3">
        <v>5</v>
      </c>
      <c r="F13" s="3">
        <v>7</v>
      </c>
      <c r="G13" s="3">
        <v>6</v>
      </c>
      <c r="H13" s="3">
        <v>3</v>
      </c>
      <c r="I13" s="3">
        <v>1</v>
      </c>
      <c r="J13" s="3">
        <v>4</v>
      </c>
      <c r="K13" s="1" t="s">
        <v>25</v>
      </c>
      <c r="L13" s="1" t="s">
        <v>60</v>
      </c>
      <c r="M13" s="1" t="s">
        <v>27</v>
      </c>
      <c r="N13" s="1" t="s">
        <v>28</v>
      </c>
      <c r="O13" t="s">
        <v>29</v>
      </c>
      <c r="P13" t="s">
        <v>30</v>
      </c>
      <c r="Q13" t="s">
        <v>31</v>
      </c>
      <c r="R13" t="s">
        <v>32</v>
      </c>
      <c r="S13" t="s">
        <v>33</v>
      </c>
      <c r="T13" t="s">
        <v>27</v>
      </c>
      <c r="U13" t="s">
        <v>56</v>
      </c>
      <c r="V13" t="s">
        <v>51</v>
      </c>
      <c r="W13" t="str">
        <f>IF(Investment_Table[[#This Row],[age]]&lt;=25,"Early Adulthood",IF(Investment_Table[[#This Row],[age]]&lt;=30,"Established Adulthood","Experienced Adulthood"))</f>
        <v>Established Adulthood</v>
      </c>
      <c r="X13" t="s">
        <v>36</v>
      </c>
      <c r="Y13" t="s">
        <v>45</v>
      </c>
    </row>
    <row r="14" spans="1:25">
      <c r="A14" s="1" t="s">
        <v>24</v>
      </c>
      <c r="B14" s="2">
        <v>21</v>
      </c>
      <c r="C14" s="1" t="s">
        <v>38</v>
      </c>
      <c r="D14" s="3">
        <v>1</v>
      </c>
      <c r="E14" s="3">
        <v>2</v>
      </c>
      <c r="F14" s="3">
        <v>3</v>
      </c>
      <c r="G14" s="3">
        <v>4</v>
      </c>
      <c r="H14" s="3">
        <v>5</v>
      </c>
      <c r="I14" s="3">
        <v>6</v>
      </c>
      <c r="J14" s="3">
        <v>7</v>
      </c>
      <c r="K14" s="1" t="s">
        <v>38</v>
      </c>
      <c r="L14" s="1" t="s">
        <v>26</v>
      </c>
      <c r="M14" s="1" t="s">
        <v>27</v>
      </c>
      <c r="N14" s="1" t="s">
        <v>64</v>
      </c>
      <c r="O14" t="s">
        <v>29</v>
      </c>
      <c r="P14" t="s">
        <v>41</v>
      </c>
      <c r="Q14" t="s">
        <v>31</v>
      </c>
      <c r="R14" t="s">
        <v>32</v>
      </c>
      <c r="S14" t="s">
        <v>66</v>
      </c>
      <c r="T14" t="s">
        <v>43</v>
      </c>
      <c r="U14" t="s">
        <v>34</v>
      </c>
      <c r="V14" t="s">
        <v>35</v>
      </c>
      <c r="W14" t="str">
        <f>IF(Investment_Table[[#This Row],[age]]&lt;=25,"Early Adulthood",IF(Investment_Table[[#This Row],[age]]&lt;=30,"Established Adulthood","Experienced Adulthood"))</f>
        <v>Early Adulthood</v>
      </c>
      <c r="X14" t="s">
        <v>59</v>
      </c>
      <c r="Y14" t="s">
        <v>58</v>
      </c>
    </row>
    <row r="15" spans="1:25">
      <c r="A15" s="1" t="s">
        <v>24</v>
      </c>
      <c r="B15" s="2">
        <v>28</v>
      </c>
      <c r="C15" s="1" t="s">
        <v>25</v>
      </c>
      <c r="D15" s="3">
        <v>2</v>
      </c>
      <c r="E15" s="3">
        <v>3</v>
      </c>
      <c r="F15" s="3">
        <v>7</v>
      </c>
      <c r="G15" s="3">
        <v>4</v>
      </c>
      <c r="H15" s="3">
        <v>5</v>
      </c>
      <c r="I15" s="3">
        <v>1</v>
      </c>
      <c r="J15" s="3">
        <v>6</v>
      </c>
      <c r="K15" s="1" t="s">
        <v>25</v>
      </c>
      <c r="L15" s="1" t="s">
        <v>26</v>
      </c>
      <c r="M15" s="1" t="s">
        <v>27</v>
      </c>
      <c r="N15" s="1" t="s">
        <v>28</v>
      </c>
      <c r="O15" t="s">
        <v>29</v>
      </c>
      <c r="P15" t="s">
        <v>30</v>
      </c>
      <c r="Q15" t="s">
        <v>31</v>
      </c>
      <c r="R15" t="s">
        <v>32</v>
      </c>
      <c r="S15" t="s">
        <v>33</v>
      </c>
      <c r="T15" t="s">
        <v>27</v>
      </c>
      <c r="U15" t="s">
        <v>56</v>
      </c>
      <c r="V15" t="s">
        <v>51</v>
      </c>
      <c r="W15" t="str">
        <f>IF(Investment_Table[[#This Row],[age]]&lt;=25,"Early Adulthood",IF(Investment_Table[[#This Row],[age]]&lt;=30,"Established Adulthood","Experienced Adulthood"))</f>
        <v>Established Adulthood</v>
      </c>
      <c r="X15" t="s">
        <v>59</v>
      </c>
      <c r="Y15" t="s">
        <v>37</v>
      </c>
    </row>
    <row r="16" spans="1:25">
      <c r="A16" s="1" t="s">
        <v>24</v>
      </c>
      <c r="B16" s="2">
        <v>25</v>
      </c>
      <c r="C16" s="1" t="s">
        <v>25</v>
      </c>
      <c r="D16" s="3">
        <v>2</v>
      </c>
      <c r="E16" s="3">
        <v>3</v>
      </c>
      <c r="F16" s="3">
        <v>7</v>
      </c>
      <c r="G16" s="3">
        <v>5</v>
      </c>
      <c r="H16" s="3">
        <v>4</v>
      </c>
      <c r="I16" s="3">
        <v>1</v>
      </c>
      <c r="J16" s="3">
        <v>6</v>
      </c>
      <c r="K16" s="1" t="s">
        <v>25</v>
      </c>
      <c r="L16" s="1" t="s">
        <v>26</v>
      </c>
      <c r="M16" s="1" t="s">
        <v>27</v>
      </c>
      <c r="N16" s="1" t="s">
        <v>28</v>
      </c>
      <c r="O16" t="s">
        <v>29</v>
      </c>
      <c r="P16" t="s">
        <v>30</v>
      </c>
      <c r="Q16" t="s">
        <v>31</v>
      </c>
      <c r="R16" t="s">
        <v>65</v>
      </c>
      <c r="S16" t="s">
        <v>42</v>
      </c>
      <c r="T16" t="s">
        <v>43</v>
      </c>
      <c r="U16" t="s">
        <v>34</v>
      </c>
      <c r="V16" t="s">
        <v>51</v>
      </c>
      <c r="W16" t="str">
        <f>IF(Investment_Table[[#This Row],[age]]&lt;=25,"Early Adulthood",IF(Investment_Table[[#This Row],[age]]&lt;=30,"Established Adulthood","Experienced Adulthood"))</f>
        <v>Early Adulthood</v>
      </c>
      <c r="X16" t="s">
        <v>59</v>
      </c>
      <c r="Y16" t="s">
        <v>45</v>
      </c>
    </row>
    <row r="17" spans="1:25">
      <c r="A17" s="1" t="s">
        <v>46</v>
      </c>
      <c r="B17" s="2">
        <v>27</v>
      </c>
      <c r="C17" s="1" t="s">
        <v>25</v>
      </c>
      <c r="D17" s="3">
        <v>2</v>
      </c>
      <c r="E17" s="3">
        <v>3</v>
      </c>
      <c r="F17" s="3">
        <v>7</v>
      </c>
      <c r="G17" s="3">
        <v>5</v>
      </c>
      <c r="H17" s="3">
        <v>4</v>
      </c>
      <c r="I17" s="3">
        <v>1</v>
      </c>
      <c r="J17" s="3">
        <v>6</v>
      </c>
      <c r="K17" s="1" t="s">
        <v>25</v>
      </c>
      <c r="L17" s="1" t="s">
        <v>26</v>
      </c>
      <c r="M17" s="1" t="s">
        <v>27</v>
      </c>
      <c r="N17" s="1" t="s">
        <v>28</v>
      </c>
      <c r="O17" t="s">
        <v>29</v>
      </c>
      <c r="P17" t="s">
        <v>30</v>
      </c>
      <c r="Q17" t="s">
        <v>31</v>
      </c>
      <c r="R17" t="s">
        <v>32</v>
      </c>
      <c r="S17" t="s">
        <v>42</v>
      </c>
      <c r="T17" t="s">
        <v>27</v>
      </c>
      <c r="U17" t="s">
        <v>56</v>
      </c>
      <c r="V17" t="s">
        <v>51</v>
      </c>
      <c r="W17" t="str">
        <f>IF(Investment_Table[[#This Row],[age]]&lt;=25,"Early Adulthood",IF(Investment_Table[[#This Row],[age]]&lt;=30,"Established Adulthood","Experienced Adulthood"))</f>
        <v>Established Adulthood</v>
      </c>
      <c r="X17" t="s">
        <v>59</v>
      </c>
      <c r="Y17" t="s">
        <v>37</v>
      </c>
    </row>
    <row r="18" spans="1:25">
      <c r="A18" s="1" t="s">
        <v>24</v>
      </c>
      <c r="B18" s="2">
        <v>28</v>
      </c>
      <c r="C18" s="1" t="s">
        <v>25</v>
      </c>
      <c r="D18" s="3">
        <v>3</v>
      </c>
      <c r="E18" s="3">
        <v>2</v>
      </c>
      <c r="F18" s="3">
        <v>7</v>
      </c>
      <c r="G18" s="3">
        <v>5</v>
      </c>
      <c r="H18" s="3">
        <v>4</v>
      </c>
      <c r="I18" s="3">
        <v>1</v>
      </c>
      <c r="J18" s="3">
        <v>6</v>
      </c>
      <c r="K18" s="1" t="s">
        <v>25</v>
      </c>
      <c r="L18" s="1" t="s">
        <v>60</v>
      </c>
      <c r="M18" s="1" t="s">
        <v>63</v>
      </c>
      <c r="N18" s="1" t="s">
        <v>28</v>
      </c>
      <c r="O18" t="s">
        <v>29</v>
      </c>
      <c r="P18" t="s">
        <v>30</v>
      </c>
      <c r="Q18" t="s">
        <v>31</v>
      </c>
      <c r="R18" t="s">
        <v>65</v>
      </c>
      <c r="S18" t="s">
        <v>42</v>
      </c>
      <c r="T18" t="s">
        <v>27</v>
      </c>
      <c r="U18" t="s">
        <v>56</v>
      </c>
      <c r="V18" t="s">
        <v>51</v>
      </c>
      <c r="W18" t="str">
        <f>IF(Investment_Table[[#This Row],[age]]&lt;=25,"Early Adulthood",IF(Investment_Table[[#This Row],[age]]&lt;=30,"Established Adulthood","Experienced Adulthood"))</f>
        <v>Established Adulthood</v>
      </c>
      <c r="X18" t="s">
        <v>59</v>
      </c>
      <c r="Y18" t="s">
        <v>52</v>
      </c>
    </row>
    <row r="19" spans="1:25">
      <c r="A19" s="1" t="s">
        <v>46</v>
      </c>
      <c r="B19" s="2">
        <v>27</v>
      </c>
      <c r="C19" s="1" t="s">
        <v>25</v>
      </c>
      <c r="D19" s="3">
        <v>3</v>
      </c>
      <c r="E19" s="3">
        <v>2</v>
      </c>
      <c r="F19" s="3">
        <v>7</v>
      </c>
      <c r="G19" s="3">
        <v>4</v>
      </c>
      <c r="H19" s="3">
        <v>5</v>
      </c>
      <c r="I19" s="3">
        <v>1</v>
      </c>
      <c r="J19" s="3">
        <v>6</v>
      </c>
      <c r="K19" s="1" t="s">
        <v>25</v>
      </c>
      <c r="L19" s="1" t="s">
        <v>26</v>
      </c>
      <c r="M19" s="1" t="s">
        <v>27</v>
      </c>
      <c r="N19" s="1" t="s">
        <v>28</v>
      </c>
      <c r="O19" t="s">
        <v>29</v>
      </c>
      <c r="P19" t="s">
        <v>30</v>
      </c>
      <c r="Q19" t="s">
        <v>31</v>
      </c>
      <c r="R19" t="s">
        <v>32</v>
      </c>
      <c r="S19" t="s">
        <v>33</v>
      </c>
      <c r="T19" t="s">
        <v>27</v>
      </c>
      <c r="U19" t="s">
        <v>34</v>
      </c>
      <c r="V19" t="s">
        <v>51</v>
      </c>
      <c r="W19" t="str">
        <f>IF(Investment_Table[[#This Row],[age]]&lt;=25,"Early Adulthood",IF(Investment_Table[[#This Row],[age]]&lt;=30,"Established Adulthood","Experienced Adulthood"))</f>
        <v>Established Adulthood</v>
      </c>
      <c r="X19" t="s">
        <v>59</v>
      </c>
      <c r="Y19" t="s">
        <v>45</v>
      </c>
    </row>
    <row r="20" spans="1:25">
      <c r="A20" s="1" t="s">
        <v>46</v>
      </c>
      <c r="B20" s="2">
        <v>29</v>
      </c>
      <c r="C20" s="1" t="s">
        <v>25</v>
      </c>
      <c r="D20" s="3">
        <v>3</v>
      </c>
      <c r="E20" s="3">
        <v>2</v>
      </c>
      <c r="F20" s="3">
        <v>7</v>
      </c>
      <c r="G20" s="3">
        <v>4</v>
      </c>
      <c r="H20" s="3">
        <v>5</v>
      </c>
      <c r="I20" s="3">
        <v>1</v>
      </c>
      <c r="J20" s="3">
        <v>6</v>
      </c>
      <c r="K20" s="1" t="s">
        <v>25</v>
      </c>
      <c r="L20" s="1" t="s">
        <v>60</v>
      </c>
      <c r="M20" s="1" t="s">
        <v>27</v>
      </c>
      <c r="N20" s="1" t="s">
        <v>28</v>
      </c>
      <c r="O20" t="s">
        <v>29</v>
      </c>
      <c r="P20" t="s">
        <v>30</v>
      </c>
      <c r="Q20" t="s">
        <v>31</v>
      </c>
      <c r="R20" t="s">
        <v>32</v>
      </c>
      <c r="S20" t="s">
        <v>33</v>
      </c>
      <c r="T20" t="s">
        <v>27</v>
      </c>
      <c r="U20" t="s">
        <v>34</v>
      </c>
      <c r="V20" t="s">
        <v>51</v>
      </c>
      <c r="W20" t="str">
        <f>IF(Investment_Table[[#This Row],[age]]&lt;=25,"Early Adulthood",IF(Investment_Table[[#This Row],[age]]&lt;=30,"Established Adulthood","Experienced Adulthood"))</f>
        <v>Established Adulthood</v>
      </c>
      <c r="X20" t="s">
        <v>59</v>
      </c>
      <c r="Y20" t="s">
        <v>37</v>
      </c>
    </row>
    <row r="21" spans="1:25">
      <c r="A21" s="1" t="s">
        <v>46</v>
      </c>
      <c r="B21" s="2">
        <v>26</v>
      </c>
      <c r="C21" s="1" t="s">
        <v>25</v>
      </c>
      <c r="D21" s="3">
        <v>3</v>
      </c>
      <c r="E21" s="3">
        <v>4</v>
      </c>
      <c r="F21" s="3">
        <v>6</v>
      </c>
      <c r="G21" s="3">
        <v>5</v>
      </c>
      <c r="H21" s="3">
        <v>1</v>
      </c>
      <c r="I21" s="3">
        <v>2</v>
      </c>
      <c r="J21" s="3">
        <v>7</v>
      </c>
      <c r="K21" s="1" t="s">
        <v>25</v>
      </c>
      <c r="L21" s="1" t="s">
        <v>60</v>
      </c>
      <c r="M21" s="1" t="s">
        <v>27</v>
      </c>
      <c r="N21" s="1" t="s">
        <v>28</v>
      </c>
      <c r="O21" t="s">
        <v>47</v>
      </c>
      <c r="P21" t="s">
        <v>30</v>
      </c>
      <c r="Q21" t="s">
        <v>31</v>
      </c>
      <c r="R21" t="s">
        <v>65</v>
      </c>
      <c r="S21" t="s">
        <v>42</v>
      </c>
      <c r="T21" t="s">
        <v>27</v>
      </c>
      <c r="U21" t="s">
        <v>56</v>
      </c>
      <c r="V21" t="s">
        <v>51</v>
      </c>
      <c r="W21" t="str">
        <f>IF(Investment_Table[[#This Row],[age]]&lt;=25,"Early Adulthood",IF(Investment_Table[[#This Row],[age]]&lt;=30,"Established Adulthood","Experienced Adulthood"))</f>
        <v>Established Adulthood</v>
      </c>
      <c r="X21" t="s">
        <v>59</v>
      </c>
      <c r="Y21" t="s">
        <v>37</v>
      </c>
    </row>
    <row r="22" spans="1:25">
      <c r="A22" s="1" t="s">
        <v>46</v>
      </c>
      <c r="B22" s="2">
        <v>29</v>
      </c>
      <c r="C22" s="1" t="s">
        <v>25</v>
      </c>
      <c r="D22" s="3">
        <v>2</v>
      </c>
      <c r="E22" s="3">
        <v>4</v>
      </c>
      <c r="F22" s="3">
        <v>7</v>
      </c>
      <c r="G22" s="3">
        <v>5</v>
      </c>
      <c r="H22" s="3">
        <v>3</v>
      </c>
      <c r="I22" s="3">
        <v>1</v>
      </c>
      <c r="J22" s="3">
        <v>6</v>
      </c>
      <c r="K22" s="1" t="s">
        <v>25</v>
      </c>
      <c r="L22" s="1" t="s">
        <v>26</v>
      </c>
      <c r="M22" s="1" t="s">
        <v>63</v>
      </c>
      <c r="N22" s="1" t="s">
        <v>28</v>
      </c>
      <c r="O22" t="s">
        <v>47</v>
      </c>
      <c r="P22" t="s">
        <v>41</v>
      </c>
      <c r="Q22" t="s">
        <v>31</v>
      </c>
      <c r="R22" t="s">
        <v>32</v>
      </c>
      <c r="S22" t="s">
        <v>33</v>
      </c>
      <c r="T22" t="s">
        <v>27</v>
      </c>
      <c r="U22" t="s">
        <v>34</v>
      </c>
      <c r="V22" t="s">
        <v>51</v>
      </c>
      <c r="W22" t="str">
        <f>IF(Investment_Table[[#This Row],[age]]&lt;=25,"Early Adulthood",IF(Investment_Table[[#This Row],[age]]&lt;=30,"Established Adulthood","Experienced Adulthood"))</f>
        <v>Established Adulthood</v>
      </c>
      <c r="X22" t="s">
        <v>36</v>
      </c>
      <c r="Y22" t="s">
        <v>45</v>
      </c>
    </row>
    <row r="23" spans="1:25">
      <c r="A23" s="1" t="s">
        <v>24</v>
      </c>
      <c r="B23" s="2">
        <v>24</v>
      </c>
      <c r="C23" s="1" t="s">
        <v>25</v>
      </c>
      <c r="D23" s="3">
        <v>2</v>
      </c>
      <c r="E23" s="3">
        <v>4</v>
      </c>
      <c r="F23" s="3">
        <v>5</v>
      </c>
      <c r="G23" s="3">
        <v>6</v>
      </c>
      <c r="H23" s="3">
        <v>3</v>
      </c>
      <c r="I23" s="3">
        <v>1</v>
      </c>
      <c r="J23" s="3">
        <v>7</v>
      </c>
      <c r="K23" s="1" t="s">
        <v>25</v>
      </c>
      <c r="L23" s="1" t="s">
        <v>60</v>
      </c>
      <c r="M23" s="1" t="s">
        <v>27</v>
      </c>
      <c r="N23" s="1" t="s">
        <v>28</v>
      </c>
      <c r="O23" t="s">
        <v>47</v>
      </c>
      <c r="P23" t="s">
        <v>30</v>
      </c>
      <c r="Q23" t="s">
        <v>31</v>
      </c>
      <c r="R23" t="s">
        <v>49</v>
      </c>
      <c r="S23" t="s">
        <v>42</v>
      </c>
      <c r="T23" t="s">
        <v>27</v>
      </c>
      <c r="U23" t="s">
        <v>34</v>
      </c>
      <c r="V23" t="s">
        <v>51</v>
      </c>
      <c r="W23" t="str">
        <f>IF(Investment_Table[[#This Row],[age]]&lt;=25,"Early Adulthood",IF(Investment_Table[[#This Row],[age]]&lt;=30,"Established Adulthood","Experienced Adulthood"))</f>
        <v>Early Adulthood</v>
      </c>
      <c r="X23" t="s">
        <v>59</v>
      </c>
      <c r="Y23" t="s">
        <v>37</v>
      </c>
    </row>
    <row r="24" spans="1:25">
      <c r="A24" s="1" t="s">
        <v>46</v>
      </c>
      <c r="B24" s="2">
        <v>27</v>
      </c>
      <c r="C24" s="1" t="s">
        <v>25</v>
      </c>
      <c r="D24" s="3">
        <v>3</v>
      </c>
      <c r="E24" s="3">
        <v>4</v>
      </c>
      <c r="F24" s="3">
        <v>6</v>
      </c>
      <c r="G24" s="3">
        <v>5</v>
      </c>
      <c r="H24" s="3">
        <v>2</v>
      </c>
      <c r="I24" s="3">
        <v>1</v>
      </c>
      <c r="J24" s="3">
        <v>7</v>
      </c>
      <c r="K24" s="1" t="s">
        <v>25</v>
      </c>
      <c r="L24" s="1" t="s">
        <v>26</v>
      </c>
      <c r="M24" s="1" t="s">
        <v>27</v>
      </c>
      <c r="N24" s="1" t="s">
        <v>28</v>
      </c>
      <c r="O24" t="s">
        <v>47</v>
      </c>
      <c r="P24" t="s">
        <v>30</v>
      </c>
      <c r="Q24" t="s">
        <v>31</v>
      </c>
      <c r="R24" t="s">
        <v>32</v>
      </c>
      <c r="S24" t="s">
        <v>33</v>
      </c>
      <c r="T24" t="s">
        <v>27</v>
      </c>
      <c r="U24" t="s">
        <v>34</v>
      </c>
      <c r="V24" t="s">
        <v>51</v>
      </c>
      <c r="W24" t="str">
        <f>IF(Investment_Table[[#This Row],[age]]&lt;=25,"Early Adulthood",IF(Investment_Table[[#This Row],[age]]&lt;=30,"Established Adulthood","Experienced Adulthood"))</f>
        <v>Established Adulthood</v>
      </c>
      <c r="X24" t="s">
        <v>59</v>
      </c>
      <c r="Y24" t="s">
        <v>45</v>
      </c>
    </row>
    <row r="25" spans="1:25">
      <c r="A25" s="1" t="s">
        <v>46</v>
      </c>
      <c r="B25" s="2">
        <v>25</v>
      </c>
      <c r="C25" s="1" t="s">
        <v>25</v>
      </c>
      <c r="D25" s="3">
        <v>2</v>
      </c>
      <c r="E25" s="3">
        <v>4</v>
      </c>
      <c r="F25" s="3">
        <v>6</v>
      </c>
      <c r="G25" s="3">
        <v>5</v>
      </c>
      <c r="H25" s="3">
        <v>3</v>
      </c>
      <c r="I25" s="3">
        <v>1</v>
      </c>
      <c r="J25" s="3">
        <v>7</v>
      </c>
      <c r="K25" s="1" t="s">
        <v>25</v>
      </c>
      <c r="L25" s="1" t="s">
        <v>60</v>
      </c>
      <c r="M25" s="1" t="s">
        <v>63</v>
      </c>
      <c r="N25" s="1" t="s">
        <v>64</v>
      </c>
      <c r="O25" t="s">
        <v>47</v>
      </c>
      <c r="P25" t="s">
        <v>41</v>
      </c>
      <c r="Q25" t="s">
        <v>31</v>
      </c>
      <c r="R25" t="s">
        <v>67</v>
      </c>
      <c r="S25" t="s">
        <v>42</v>
      </c>
      <c r="T25" t="s">
        <v>62</v>
      </c>
      <c r="U25" t="s">
        <v>34</v>
      </c>
      <c r="V25" t="s">
        <v>51</v>
      </c>
      <c r="W25" t="str">
        <f>IF(Investment_Table[[#This Row],[age]]&lt;=25,"Early Adulthood",IF(Investment_Table[[#This Row],[age]]&lt;=30,"Established Adulthood","Experienced Adulthood"))</f>
        <v>Early Adulthood</v>
      </c>
      <c r="X25" t="s">
        <v>59</v>
      </c>
      <c r="Y25" t="s">
        <v>45</v>
      </c>
    </row>
    <row r="26" spans="1:25">
      <c r="A26" s="1" t="s">
        <v>24</v>
      </c>
      <c r="B26" s="2">
        <v>26</v>
      </c>
      <c r="C26" s="1" t="s">
        <v>25</v>
      </c>
      <c r="D26" s="3">
        <v>2</v>
      </c>
      <c r="E26" s="3">
        <v>3</v>
      </c>
      <c r="F26" s="3">
        <v>7</v>
      </c>
      <c r="G26" s="3">
        <v>5</v>
      </c>
      <c r="H26" s="3">
        <v>4</v>
      </c>
      <c r="I26" s="3">
        <v>1</v>
      </c>
      <c r="J26" s="3">
        <v>6</v>
      </c>
      <c r="K26" s="1" t="s">
        <v>25</v>
      </c>
      <c r="L26" s="1" t="s">
        <v>26</v>
      </c>
      <c r="M26" s="1" t="s">
        <v>27</v>
      </c>
      <c r="N26" s="1" t="s">
        <v>28</v>
      </c>
      <c r="O26" t="s">
        <v>47</v>
      </c>
      <c r="P26" t="s">
        <v>30</v>
      </c>
      <c r="Q26" t="s">
        <v>61</v>
      </c>
      <c r="R26" t="s">
        <v>67</v>
      </c>
      <c r="S26" t="s">
        <v>33</v>
      </c>
      <c r="T26" t="s">
        <v>27</v>
      </c>
      <c r="U26" t="s">
        <v>34</v>
      </c>
      <c r="V26" t="s">
        <v>51</v>
      </c>
      <c r="W26" t="str">
        <f>IF(Investment_Table[[#This Row],[age]]&lt;=25,"Early Adulthood",IF(Investment_Table[[#This Row],[age]]&lt;=30,"Established Adulthood","Experienced Adulthood"))</f>
        <v>Established Adulthood</v>
      </c>
      <c r="X26" t="s">
        <v>59</v>
      </c>
      <c r="Y26" t="s">
        <v>37</v>
      </c>
    </row>
    <row r="27" spans="1:25">
      <c r="A27" s="1" t="s">
        <v>24</v>
      </c>
      <c r="B27" s="2">
        <v>32</v>
      </c>
      <c r="C27" s="1" t="s">
        <v>25</v>
      </c>
      <c r="D27" s="3">
        <v>3</v>
      </c>
      <c r="E27" s="3">
        <v>4</v>
      </c>
      <c r="F27" s="3">
        <v>7</v>
      </c>
      <c r="G27" s="3">
        <v>5</v>
      </c>
      <c r="H27" s="3">
        <v>1</v>
      </c>
      <c r="I27" s="3">
        <v>2</v>
      </c>
      <c r="J27" s="3">
        <v>6</v>
      </c>
      <c r="K27" s="1" t="s">
        <v>25</v>
      </c>
      <c r="L27" s="1" t="s">
        <v>60</v>
      </c>
      <c r="M27" s="1" t="s">
        <v>63</v>
      </c>
      <c r="N27" s="1" t="s">
        <v>28</v>
      </c>
      <c r="O27" t="s">
        <v>47</v>
      </c>
      <c r="P27" t="s">
        <v>30</v>
      </c>
      <c r="Q27" t="s">
        <v>31</v>
      </c>
      <c r="R27" t="s">
        <v>32</v>
      </c>
      <c r="S27" t="s">
        <v>33</v>
      </c>
      <c r="T27" t="s">
        <v>27</v>
      </c>
      <c r="U27" t="s">
        <v>34</v>
      </c>
      <c r="V27" t="s">
        <v>51</v>
      </c>
      <c r="W27" t="str">
        <f>IF(Investment_Table[[#This Row],[age]]&lt;=25,"Early Adulthood",IF(Investment_Table[[#This Row],[age]]&lt;=30,"Established Adulthood","Experienced Adulthood"))</f>
        <v>Experienced Adulthood</v>
      </c>
      <c r="X27" t="s">
        <v>36</v>
      </c>
      <c r="Y27" t="s">
        <v>45</v>
      </c>
    </row>
    <row r="28" spans="1:25">
      <c r="A28" s="1" t="s">
        <v>46</v>
      </c>
      <c r="B28" s="2">
        <v>26</v>
      </c>
      <c r="C28" s="1" t="s">
        <v>25</v>
      </c>
      <c r="D28" s="3">
        <v>3</v>
      </c>
      <c r="E28" s="3">
        <v>4</v>
      </c>
      <c r="F28" s="3">
        <v>6</v>
      </c>
      <c r="G28" s="3">
        <v>5</v>
      </c>
      <c r="H28" s="3">
        <v>1</v>
      </c>
      <c r="I28" s="3">
        <v>2</v>
      </c>
      <c r="J28" s="3">
        <v>7</v>
      </c>
      <c r="K28" s="1" t="s">
        <v>25</v>
      </c>
      <c r="L28" s="1" t="s">
        <v>26</v>
      </c>
      <c r="M28" s="1" t="s">
        <v>27</v>
      </c>
      <c r="N28" s="1" t="s">
        <v>28</v>
      </c>
      <c r="O28" t="s">
        <v>47</v>
      </c>
      <c r="P28" t="s">
        <v>30</v>
      </c>
      <c r="Q28" t="s">
        <v>31</v>
      </c>
      <c r="R28" t="s">
        <v>32</v>
      </c>
      <c r="S28" t="s">
        <v>33</v>
      </c>
      <c r="T28" t="s">
        <v>43</v>
      </c>
      <c r="U28" t="s">
        <v>56</v>
      </c>
      <c r="V28" t="s">
        <v>51</v>
      </c>
      <c r="W28" t="str">
        <f>IF(Investment_Table[[#This Row],[age]]&lt;=25,"Early Adulthood",IF(Investment_Table[[#This Row],[age]]&lt;=30,"Established Adulthood","Experienced Adulthood"))</f>
        <v>Established Adulthood</v>
      </c>
      <c r="X28" t="s">
        <v>36</v>
      </c>
      <c r="Y28" t="s">
        <v>45</v>
      </c>
    </row>
    <row r="29" spans="1:25">
      <c r="A29" s="1" t="s">
        <v>46</v>
      </c>
      <c r="B29" s="2">
        <v>31</v>
      </c>
      <c r="C29" s="1" t="s">
        <v>25</v>
      </c>
      <c r="D29" s="3">
        <v>2</v>
      </c>
      <c r="E29" s="3">
        <v>3</v>
      </c>
      <c r="F29" s="3">
        <v>7</v>
      </c>
      <c r="G29" s="3">
        <v>6</v>
      </c>
      <c r="H29" s="3">
        <v>4</v>
      </c>
      <c r="I29" s="3">
        <v>1</v>
      </c>
      <c r="J29" s="3">
        <v>5</v>
      </c>
      <c r="K29" s="1" t="s">
        <v>25</v>
      </c>
      <c r="L29" s="1" t="s">
        <v>60</v>
      </c>
      <c r="M29" s="1" t="s">
        <v>63</v>
      </c>
      <c r="N29" s="1" t="s">
        <v>64</v>
      </c>
      <c r="O29" t="s">
        <v>29</v>
      </c>
      <c r="P29" t="s">
        <v>30</v>
      </c>
      <c r="Q29" t="s">
        <v>31</v>
      </c>
      <c r="R29" t="s">
        <v>65</v>
      </c>
      <c r="S29" t="s">
        <v>42</v>
      </c>
      <c r="T29" t="s">
        <v>27</v>
      </c>
      <c r="U29" t="s">
        <v>56</v>
      </c>
      <c r="V29" t="s">
        <v>35</v>
      </c>
      <c r="W29" t="str">
        <f>IF(Investment_Table[[#This Row],[age]]&lt;=25,"Early Adulthood",IF(Investment_Table[[#This Row],[age]]&lt;=30,"Established Adulthood","Experienced Adulthood"))</f>
        <v>Experienced Adulthood</v>
      </c>
      <c r="X29" t="s">
        <v>36</v>
      </c>
      <c r="Y29" t="s">
        <v>52</v>
      </c>
    </row>
    <row r="30" spans="1:25">
      <c r="A30" s="1" t="s">
        <v>46</v>
      </c>
      <c r="B30" s="2">
        <v>29</v>
      </c>
      <c r="C30" s="1" t="s">
        <v>25</v>
      </c>
      <c r="D30" s="3">
        <v>2</v>
      </c>
      <c r="E30" s="3">
        <v>3</v>
      </c>
      <c r="F30" s="3">
        <v>6</v>
      </c>
      <c r="G30" s="3">
        <v>5</v>
      </c>
      <c r="H30" s="3">
        <v>1</v>
      </c>
      <c r="I30" s="3">
        <v>4</v>
      </c>
      <c r="J30" s="3">
        <v>7</v>
      </c>
      <c r="K30" s="1" t="s">
        <v>25</v>
      </c>
      <c r="L30" s="1" t="s">
        <v>26</v>
      </c>
      <c r="M30" s="1" t="s">
        <v>27</v>
      </c>
      <c r="N30" s="1" t="s">
        <v>28</v>
      </c>
      <c r="O30" t="s">
        <v>29</v>
      </c>
      <c r="P30" t="s">
        <v>30</v>
      </c>
      <c r="Q30" t="s">
        <v>31</v>
      </c>
      <c r="R30" t="s">
        <v>49</v>
      </c>
      <c r="S30" t="s">
        <v>33</v>
      </c>
      <c r="T30" t="s">
        <v>27</v>
      </c>
      <c r="U30" t="s">
        <v>34</v>
      </c>
      <c r="V30" t="s">
        <v>51</v>
      </c>
      <c r="W30" t="str">
        <f>IF(Investment_Table[[#This Row],[age]]&lt;=25,"Early Adulthood",IF(Investment_Table[[#This Row],[age]]&lt;=30,"Established Adulthood","Experienced Adulthood"))</f>
        <v>Established Adulthood</v>
      </c>
      <c r="X30" t="s">
        <v>59</v>
      </c>
      <c r="Y30" t="s">
        <v>52</v>
      </c>
    </row>
    <row r="31" spans="1:25">
      <c r="A31" s="1" t="s">
        <v>24</v>
      </c>
      <c r="B31" s="2">
        <v>34</v>
      </c>
      <c r="C31" s="1" t="s">
        <v>25</v>
      </c>
      <c r="D31" s="3">
        <v>5</v>
      </c>
      <c r="E31" s="3">
        <v>4</v>
      </c>
      <c r="F31" s="3">
        <v>3</v>
      </c>
      <c r="G31" s="3">
        <v>2</v>
      </c>
      <c r="H31" s="3">
        <v>7</v>
      </c>
      <c r="I31" s="3">
        <v>1</v>
      </c>
      <c r="J31" s="3">
        <v>6</v>
      </c>
      <c r="K31" s="1" t="s">
        <v>25</v>
      </c>
      <c r="L31" s="1" t="s">
        <v>26</v>
      </c>
      <c r="M31" s="1" t="s">
        <v>53</v>
      </c>
      <c r="N31" s="1" t="s">
        <v>26</v>
      </c>
      <c r="O31" t="s">
        <v>47</v>
      </c>
      <c r="P31" t="s">
        <v>30</v>
      </c>
      <c r="Q31" t="s">
        <v>55</v>
      </c>
      <c r="R31" t="s">
        <v>32</v>
      </c>
      <c r="S31" t="s">
        <v>33</v>
      </c>
      <c r="T31" t="s">
        <v>27</v>
      </c>
      <c r="U31" t="s">
        <v>50</v>
      </c>
      <c r="V31" t="s">
        <v>35</v>
      </c>
      <c r="W31" t="str">
        <f>IF(Investment_Table[[#This Row],[age]]&lt;=25,"Early Adulthood",IF(Investment_Table[[#This Row],[age]]&lt;=30,"Established Adulthood","Experienced Adulthood"))</f>
        <v>Experienced Adulthood</v>
      </c>
      <c r="X31" t="s">
        <v>36</v>
      </c>
      <c r="Y31" t="s">
        <v>37</v>
      </c>
    </row>
    <row r="32" spans="1:25">
      <c r="A32" s="1" t="s">
        <v>46</v>
      </c>
      <c r="B32" s="2">
        <v>27</v>
      </c>
      <c r="C32" s="1" t="s">
        <v>25</v>
      </c>
      <c r="D32" s="3">
        <v>4</v>
      </c>
      <c r="E32" s="3">
        <v>5</v>
      </c>
      <c r="F32" s="3">
        <v>1</v>
      </c>
      <c r="G32" s="3">
        <v>2</v>
      </c>
      <c r="H32" s="3">
        <v>7</v>
      </c>
      <c r="I32" s="3">
        <v>3</v>
      </c>
      <c r="J32" s="3">
        <v>6</v>
      </c>
      <c r="K32" s="1" t="s">
        <v>38</v>
      </c>
      <c r="L32" s="1" t="s">
        <v>26</v>
      </c>
      <c r="M32" s="1" t="s">
        <v>63</v>
      </c>
      <c r="N32" s="1" t="s">
        <v>28</v>
      </c>
      <c r="O32" t="s">
        <v>29</v>
      </c>
      <c r="P32" t="s">
        <v>30</v>
      </c>
      <c r="Q32" t="s">
        <v>55</v>
      </c>
      <c r="R32" t="s">
        <v>32</v>
      </c>
      <c r="S32" t="s">
        <v>66</v>
      </c>
      <c r="T32" t="s">
        <v>27</v>
      </c>
      <c r="U32" t="s">
        <v>50</v>
      </c>
      <c r="V32" t="s">
        <v>35</v>
      </c>
      <c r="W32" t="str">
        <f>IF(Investment_Table[[#This Row],[age]]&lt;=25,"Early Adulthood",IF(Investment_Table[[#This Row],[age]]&lt;=30,"Established Adulthood","Experienced Adulthood"))</f>
        <v>Established Adulthood</v>
      </c>
      <c r="X32" t="s">
        <v>36</v>
      </c>
      <c r="Y32" t="s">
        <v>52</v>
      </c>
    </row>
    <row r="33" spans="1:25">
      <c r="A33" s="1" t="s">
        <v>24</v>
      </c>
      <c r="B33" s="2">
        <v>31</v>
      </c>
      <c r="C33" s="1" t="s">
        <v>25</v>
      </c>
      <c r="D33" s="3">
        <v>2</v>
      </c>
      <c r="E33" s="3">
        <v>4</v>
      </c>
      <c r="F33" s="3">
        <v>7</v>
      </c>
      <c r="G33" s="3">
        <v>6</v>
      </c>
      <c r="H33" s="3">
        <v>3</v>
      </c>
      <c r="I33" s="3">
        <v>1</v>
      </c>
      <c r="J33" s="3">
        <v>5</v>
      </c>
      <c r="K33" s="1" t="s">
        <v>25</v>
      </c>
      <c r="L33" s="1" t="s">
        <v>26</v>
      </c>
      <c r="M33" s="1" t="s">
        <v>27</v>
      </c>
      <c r="N33" s="1" t="s">
        <v>28</v>
      </c>
      <c r="O33" t="s">
        <v>47</v>
      </c>
      <c r="P33" t="s">
        <v>30</v>
      </c>
      <c r="Q33" t="s">
        <v>31</v>
      </c>
      <c r="R33" t="s">
        <v>65</v>
      </c>
      <c r="S33" t="s">
        <v>33</v>
      </c>
      <c r="T33" t="s">
        <v>27</v>
      </c>
      <c r="U33" t="s">
        <v>34</v>
      </c>
      <c r="V33" t="s">
        <v>51</v>
      </c>
      <c r="W33" t="str">
        <f>IF(Investment_Table[[#This Row],[age]]&lt;=25,"Early Adulthood",IF(Investment_Table[[#This Row],[age]]&lt;=30,"Established Adulthood","Experienced Adulthood"))</f>
        <v>Experienced Adulthood</v>
      </c>
      <c r="X33" t="s">
        <v>36</v>
      </c>
      <c r="Y33" t="s">
        <v>45</v>
      </c>
    </row>
    <row r="34" spans="1:25">
      <c r="A34" s="1" t="s">
        <v>46</v>
      </c>
      <c r="B34" s="2">
        <v>27</v>
      </c>
      <c r="C34" s="1" t="s">
        <v>25</v>
      </c>
      <c r="D34" s="3">
        <v>2</v>
      </c>
      <c r="E34" s="3">
        <v>4</v>
      </c>
      <c r="F34" s="3">
        <v>7</v>
      </c>
      <c r="G34" s="3">
        <v>5</v>
      </c>
      <c r="H34" s="3">
        <v>1</v>
      </c>
      <c r="I34" s="3">
        <v>3</v>
      </c>
      <c r="J34" s="3">
        <v>6</v>
      </c>
      <c r="K34" s="1" t="s">
        <v>25</v>
      </c>
      <c r="L34" s="1" t="s">
        <v>26</v>
      </c>
      <c r="M34" s="1" t="s">
        <v>27</v>
      </c>
      <c r="N34" s="1" t="s">
        <v>28</v>
      </c>
      <c r="O34" t="s">
        <v>47</v>
      </c>
      <c r="P34" t="s">
        <v>30</v>
      </c>
      <c r="Q34" t="s">
        <v>61</v>
      </c>
      <c r="R34" t="s">
        <v>49</v>
      </c>
      <c r="S34" t="s">
        <v>42</v>
      </c>
      <c r="T34" t="s">
        <v>27</v>
      </c>
      <c r="U34" t="s">
        <v>56</v>
      </c>
      <c r="V34" t="s">
        <v>51</v>
      </c>
      <c r="W34" t="str">
        <f>IF(Investment_Table[[#This Row],[age]]&lt;=25,"Early Adulthood",IF(Investment_Table[[#This Row],[age]]&lt;=30,"Established Adulthood","Experienced Adulthood"))</f>
        <v>Established Adulthood</v>
      </c>
      <c r="X34" t="s">
        <v>36</v>
      </c>
      <c r="Y34" t="s">
        <v>37</v>
      </c>
    </row>
    <row r="35" spans="1:25">
      <c r="A35" s="1" t="s">
        <v>46</v>
      </c>
      <c r="B35" s="2">
        <v>26</v>
      </c>
      <c r="C35" s="1" t="s">
        <v>25</v>
      </c>
      <c r="D35" s="3">
        <v>2</v>
      </c>
      <c r="E35" s="3">
        <v>3</v>
      </c>
      <c r="F35" s="3">
        <v>6</v>
      </c>
      <c r="G35" s="3">
        <v>4</v>
      </c>
      <c r="H35" s="3">
        <v>1</v>
      </c>
      <c r="I35" s="3">
        <v>5</v>
      </c>
      <c r="J35" s="3">
        <v>7</v>
      </c>
      <c r="K35" s="1" t="s">
        <v>25</v>
      </c>
      <c r="L35" s="1" t="s">
        <v>26</v>
      </c>
      <c r="M35" s="1" t="s">
        <v>27</v>
      </c>
      <c r="N35" s="1" t="s">
        <v>26</v>
      </c>
      <c r="O35" t="s">
        <v>29</v>
      </c>
      <c r="P35" t="s">
        <v>30</v>
      </c>
      <c r="Q35" t="s">
        <v>31</v>
      </c>
      <c r="R35" t="s">
        <v>65</v>
      </c>
      <c r="S35" t="s">
        <v>66</v>
      </c>
      <c r="T35" t="s">
        <v>43</v>
      </c>
      <c r="U35" t="s">
        <v>34</v>
      </c>
      <c r="V35" t="s">
        <v>35</v>
      </c>
      <c r="W35" t="str">
        <f>IF(Investment_Table[[#This Row],[age]]&lt;=25,"Early Adulthood",IF(Investment_Table[[#This Row],[age]]&lt;=30,"Established Adulthood","Experienced Adulthood"))</f>
        <v>Established Adulthood</v>
      </c>
      <c r="X35" t="s">
        <v>59</v>
      </c>
      <c r="Y35" t="s">
        <v>37</v>
      </c>
    </row>
    <row r="36" spans="1:25">
      <c r="A36" s="1" t="s">
        <v>46</v>
      </c>
      <c r="B36" s="2">
        <v>27</v>
      </c>
      <c r="C36" s="1" t="s">
        <v>25</v>
      </c>
      <c r="D36" s="3">
        <v>2</v>
      </c>
      <c r="E36" s="3">
        <v>3</v>
      </c>
      <c r="F36" s="3">
        <v>6</v>
      </c>
      <c r="G36" s="3">
        <v>5</v>
      </c>
      <c r="H36" s="3">
        <v>4</v>
      </c>
      <c r="I36" s="3">
        <v>1</v>
      </c>
      <c r="J36" s="3">
        <v>7</v>
      </c>
      <c r="K36" s="1" t="s">
        <v>25</v>
      </c>
      <c r="L36" s="1" t="s">
        <v>26</v>
      </c>
      <c r="M36" s="1" t="s">
        <v>27</v>
      </c>
      <c r="N36" s="1" t="s">
        <v>28</v>
      </c>
      <c r="O36" t="s">
        <v>29</v>
      </c>
      <c r="P36" t="s">
        <v>41</v>
      </c>
      <c r="Q36" t="s">
        <v>31</v>
      </c>
      <c r="R36" t="s">
        <v>32</v>
      </c>
      <c r="S36" t="s">
        <v>42</v>
      </c>
      <c r="T36" t="s">
        <v>27</v>
      </c>
      <c r="U36" t="s">
        <v>34</v>
      </c>
      <c r="V36" t="s">
        <v>35</v>
      </c>
      <c r="W36" t="str">
        <f>IF(Investment_Table[[#This Row],[age]]&lt;=25,"Early Adulthood",IF(Investment_Table[[#This Row],[age]]&lt;=30,"Established Adulthood","Experienced Adulthood"))</f>
        <v>Established Adulthood</v>
      </c>
      <c r="X36" t="s">
        <v>36</v>
      </c>
      <c r="Y36" t="s">
        <v>45</v>
      </c>
    </row>
    <row r="37" spans="1:25">
      <c r="A37" s="1" t="s">
        <v>46</v>
      </c>
      <c r="B37" s="2">
        <v>30</v>
      </c>
      <c r="C37" s="1" t="s">
        <v>25</v>
      </c>
      <c r="D37" s="3">
        <v>1</v>
      </c>
      <c r="E37" s="3">
        <v>4</v>
      </c>
      <c r="F37" s="3">
        <v>6</v>
      </c>
      <c r="G37" s="3">
        <v>5</v>
      </c>
      <c r="H37" s="3">
        <v>3</v>
      </c>
      <c r="I37" s="3">
        <v>2</v>
      </c>
      <c r="J37" s="3">
        <v>7</v>
      </c>
      <c r="K37" s="1" t="s">
        <v>25</v>
      </c>
      <c r="L37" s="1" t="s">
        <v>60</v>
      </c>
      <c r="M37" s="1" t="s">
        <v>63</v>
      </c>
      <c r="N37" s="1" t="s">
        <v>28</v>
      </c>
      <c r="O37" t="s">
        <v>47</v>
      </c>
      <c r="P37" t="s">
        <v>30</v>
      </c>
      <c r="Q37" t="s">
        <v>31</v>
      </c>
      <c r="R37" t="s">
        <v>65</v>
      </c>
      <c r="S37" t="s">
        <v>42</v>
      </c>
      <c r="T37" t="s">
        <v>27</v>
      </c>
      <c r="U37" t="s">
        <v>34</v>
      </c>
      <c r="V37" t="s">
        <v>51</v>
      </c>
      <c r="W37" t="str">
        <f>IF(Investment_Table[[#This Row],[age]]&lt;=25,"Early Adulthood",IF(Investment_Table[[#This Row],[age]]&lt;=30,"Established Adulthood","Experienced Adulthood"))</f>
        <v>Established Adulthood</v>
      </c>
      <c r="X37" t="s">
        <v>36</v>
      </c>
      <c r="Y37" t="s">
        <v>45</v>
      </c>
    </row>
    <row r="38" spans="1:25">
      <c r="A38" s="1" t="s">
        <v>46</v>
      </c>
      <c r="B38" s="2">
        <v>30</v>
      </c>
      <c r="C38" s="1" t="s">
        <v>25</v>
      </c>
      <c r="D38" s="3">
        <v>2</v>
      </c>
      <c r="E38" s="3">
        <v>4</v>
      </c>
      <c r="F38" s="3">
        <v>7</v>
      </c>
      <c r="G38" s="3">
        <v>5</v>
      </c>
      <c r="H38" s="3">
        <v>1</v>
      </c>
      <c r="I38" s="3">
        <v>3</v>
      </c>
      <c r="J38" s="3">
        <v>6</v>
      </c>
      <c r="K38" s="1" t="s">
        <v>25</v>
      </c>
      <c r="L38" s="1" t="s">
        <v>26</v>
      </c>
      <c r="M38" s="1" t="s">
        <v>27</v>
      </c>
      <c r="N38" s="1" t="s">
        <v>28</v>
      </c>
      <c r="O38" t="s">
        <v>29</v>
      </c>
      <c r="P38" t="s">
        <v>30</v>
      </c>
      <c r="Q38" t="s">
        <v>31</v>
      </c>
      <c r="R38" t="s">
        <v>49</v>
      </c>
      <c r="S38" t="s">
        <v>33</v>
      </c>
      <c r="T38" t="s">
        <v>27</v>
      </c>
      <c r="U38" t="s">
        <v>34</v>
      </c>
      <c r="V38" t="s">
        <v>51</v>
      </c>
      <c r="W38" t="str">
        <f>IF(Investment_Table[[#This Row],[age]]&lt;=25,"Early Adulthood",IF(Investment_Table[[#This Row],[age]]&lt;=30,"Established Adulthood","Experienced Adulthood"))</f>
        <v>Established Adulthood</v>
      </c>
      <c r="X38" t="s">
        <v>59</v>
      </c>
      <c r="Y38" t="s">
        <v>37</v>
      </c>
    </row>
    <row r="39" spans="1:25">
      <c r="A39" s="1" t="s">
        <v>46</v>
      </c>
      <c r="B39" s="2">
        <v>25</v>
      </c>
      <c r="C39" s="1" t="s">
        <v>25</v>
      </c>
      <c r="D39" s="3">
        <v>5</v>
      </c>
      <c r="E39" s="3">
        <v>4</v>
      </c>
      <c r="F39" s="3">
        <v>7</v>
      </c>
      <c r="G39" s="3">
        <v>6</v>
      </c>
      <c r="H39" s="3">
        <v>1</v>
      </c>
      <c r="I39" s="3">
        <v>2</v>
      </c>
      <c r="J39" s="3">
        <v>3</v>
      </c>
      <c r="K39" s="1" t="s">
        <v>25</v>
      </c>
      <c r="L39" s="1" t="s">
        <v>60</v>
      </c>
      <c r="M39" s="1" t="s">
        <v>63</v>
      </c>
      <c r="N39" s="1" t="s">
        <v>64</v>
      </c>
      <c r="O39" t="s">
        <v>47</v>
      </c>
      <c r="P39" t="s">
        <v>30</v>
      </c>
      <c r="Q39" t="s">
        <v>61</v>
      </c>
      <c r="R39" t="s">
        <v>67</v>
      </c>
      <c r="S39" t="s">
        <v>42</v>
      </c>
      <c r="T39" t="s">
        <v>27</v>
      </c>
      <c r="U39" t="s">
        <v>34</v>
      </c>
      <c r="V39" t="s">
        <v>35</v>
      </c>
      <c r="W39" t="str">
        <f>IF(Investment_Table[[#This Row],[age]]&lt;=25,"Early Adulthood",IF(Investment_Table[[#This Row],[age]]&lt;=30,"Established Adulthood","Experienced Adulthood"))</f>
        <v>Early Adulthood</v>
      </c>
      <c r="X39" t="s">
        <v>36</v>
      </c>
      <c r="Y39" t="s">
        <v>45</v>
      </c>
    </row>
    <row r="40" spans="1:25">
      <c r="A40" s="1" t="s">
        <v>46</v>
      </c>
      <c r="B40" s="2">
        <v>31</v>
      </c>
      <c r="C40" s="1" t="s">
        <v>25</v>
      </c>
      <c r="D40" s="3">
        <v>2</v>
      </c>
      <c r="E40" s="3">
        <v>4</v>
      </c>
      <c r="F40" s="3">
        <v>7</v>
      </c>
      <c r="G40" s="3">
        <v>5</v>
      </c>
      <c r="H40" s="3">
        <v>3</v>
      </c>
      <c r="I40" s="3">
        <v>1</v>
      </c>
      <c r="J40" s="3">
        <v>6</v>
      </c>
      <c r="K40" s="1" t="s">
        <v>25</v>
      </c>
      <c r="L40" s="1" t="s">
        <v>60</v>
      </c>
      <c r="M40" s="1" t="s">
        <v>63</v>
      </c>
      <c r="N40" s="1" t="s">
        <v>28</v>
      </c>
      <c r="O40" t="s">
        <v>29</v>
      </c>
      <c r="P40" t="s">
        <v>41</v>
      </c>
      <c r="Q40" t="s">
        <v>31</v>
      </c>
      <c r="R40" t="s">
        <v>49</v>
      </c>
      <c r="S40" t="s">
        <v>42</v>
      </c>
      <c r="T40" t="s">
        <v>43</v>
      </c>
      <c r="U40" t="s">
        <v>56</v>
      </c>
      <c r="V40" t="s">
        <v>51</v>
      </c>
      <c r="W40" t="str">
        <f>IF(Investment_Table[[#This Row],[age]]&lt;=25,"Early Adulthood",IF(Investment_Table[[#This Row],[age]]&lt;=30,"Established Adulthood","Experienced Adulthood"))</f>
        <v>Experienced Adulthood</v>
      </c>
      <c r="X40" t="s">
        <v>36</v>
      </c>
      <c r="Y40" t="s">
        <v>37</v>
      </c>
    </row>
    <row r="41" spans="1:25">
      <c r="A41" s="1" t="s">
        <v>46</v>
      </c>
      <c r="B41" s="2">
        <v>29</v>
      </c>
      <c r="C41" s="1" t="s">
        <v>25</v>
      </c>
      <c r="D41" s="3">
        <v>4</v>
      </c>
      <c r="E41" s="3">
        <v>3</v>
      </c>
      <c r="F41" s="3">
        <v>5</v>
      </c>
      <c r="G41" s="3">
        <v>7</v>
      </c>
      <c r="H41" s="3">
        <v>2</v>
      </c>
      <c r="I41" s="3">
        <v>1</v>
      </c>
      <c r="J41" s="3">
        <v>6</v>
      </c>
      <c r="K41" s="1" t="s">
        <v>25</v>
      </c>
      <c r="L41" s="1" t="s">
        <v>26</v>
      </c>
      <c r="M41" s="1" t="s">
        <v>27</v>
      </c>
      <c r="N41" s="1" t="s">
        <v>28</v>
      </c>
      <c r="O41" t="s">
        <v>47</v>
      </c>
      <c r="P41" t="s">
        <v>30</v>
      </c>
      <c r="Q41" t="s">
        <v>31</v>
      </c>
      <c r="R41" t="s">
        <v>65</v>
      </c>
      <c r="S41" t="s">
        <v>33</v>
      </c>
      <c r="T41" t="s">
        <v>43</v>
      </c>
      <c r="U41" t="s">
        <v>34</v>
      </c>
      <c r="V41" t="s">
        <v>35</v>
      </c>
      <c r="W41" t="str">
        <f>IF(Investment_Table[[#This Row],[age]]&lt;=25,"Early Adulthood",IF(Investment_Table[[#This Row],[age]]&lt;=30,"Established Adulthood","Experienced Adulthood"))</f>
        <v>Established Adulthood</v>
      </c>
      <c r="X41" t="s">
        <v>36</v>
      </c>
      <c r="Y41" t="s">
        <v>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B3E6-E605-4F04-A3C3-B2C3241E9280}">
  <sheetPr>
    <pageSetUpPr fitToPage="1"/>
  </sheetPr>
  <dimension ref="A1:R32"/>
  <sheetViews>
    <sheetView showGridLines="0" showRowColHeaders="0" tabSelected="1" zoomScale="90" zoomScaleNormal="90" workbookViewId="0">
      <selection activeCell="N11" sqref="N11"/>
    </sheetView>
  </sheetViews>
  <sheetFormatPr defaultRowHeight="14.25"/>
  <sheetData>
    <row r="1" spans="1:18">
      <c r="A1" s="8"/>
      <c r="B1" s="8"/>
      <c r="C1" s="8"/>
      <c r="D1" s="8"/>
      <c r="E1" s="8"/>
      <c r="F1" s="8"/>
      <c r="G1" s="8"/>
      <c r="H1" s="8"/>
      <c r="I1" s="8"/>
      <c r="J1" s="8"/>
      <c r="K1" s="8"/>
      <c r="L1" s="8"/>
      <c r="M1" s="8"/>
      <c r="N1" s="8"/>
      <c r="O1" s="8"/>
      <c r="P1" s="8"/>
      <c r="Q1" s="8"/>
      <c r="R1" s="8"/>
    </row>
    <row r="2" spans="1:18">
      <c r="A2" s="8"/>
      <c r="B2" s="8"/>
      <c r="C2" s="8"/>
      <c r="D2" s="8"/>
      <c r="E2" s="8"/>
      <c r="F2" s="8"/>
      <c r="G2" s="8"/>
      <c r="H2" s="8"/>
      <c r="I2" s="8"/>
      <c r="J2" s="8"/>
      <c r="K2" s="8"/>
      <c r="L2" s="8"/>
      <c r="M2" s="8"/>
      <c r="N2" s="8"/>
      <c r="O2" s="8"/>
      <c r="P2" s="8"/>
      <c r="Q2" s="8"/>
      <c r="R2" s="8"/>
    </row>
    <row r="3" spans="1:18">
      <c r="A3" s="8"/>
      <c r="B3" s="8"/>
      <c r="C3" s="8"/>
      <c r="D3" s="8"/>
      <c r="E3" s="8"/>
      <c r="F3" s="8"/>
      <c r="G3" s="8"/>
      <c r="H3" s="8"/>
      <c r="I3" s="8"/>
      <c r="J3" s="8"/>
      <c r="K3" s="8"/>
      <c r="L3" s="8"/>
      <c r="M3" s="8"/>
      <c r="N3" s="8"/>
      <c r="O3" s="8"/>
      <c r="P3" s="8"/>
      <c r="Q3" s="8"/>
      <c r="R3" s="8"/>
    </row>
    <row r="4" spans="1:18">
      <c r="A4" s="8"/>
      <c r="B4" s="8"/>
      <c r="C4" s="8"/>
      <c r="D4" s="8"/>
      <c r="E4" s="8"/>
      <c r="F4" s="8"/>
      <c r="G4" s="8"/>
      <c r="H4" s="8"/>
      <c r="I4" s="8"/>
      <c r="J4" s="8"/>
      <c r="K4" s="8"/>
      <c r="L4" s="8"/>
      <c r="M4" s="8"/>
      <c r="N4" s="8"/>
      <c r="O4" s="8"/>
      <c r="P4" s="8"/>
      <c r="Q4" s="8"/>
      <c r="R4" s="8"/>
    </row>
    <row r="5" spans="1:18">
      <c r="A5" s="8"/>
      <c r="B5" s="8"/>
      <c r="C5" s="8"/>
      <c r="D5" s="8"/>
      <c r="E5" s="8"/>
      <c r="F5" s="8"/>
      <c r="G5" s="8"/>
      <c r="H5" s="8"/>
      <c r="I5" s="8"/>
      <c r="J5" s="8"/>
      <c r="K5" s="8"/>
      <c r="L5" s="8"/>
      <c r="M5" s="8"/>
      <c r="N5" s="8"/>
      <c r="O5" s="8"/>
      <c r="P5" s="8"/>
      <c r="Q5" s="8"/>
      <c r="R5" s="8"/>
    </row>
    <row r="6" spans="1:18">
      <c r="A6" s="8"/>
      <c r="B6" s="8"/>
      <c r="C6" s="8"/>
      <c r="D6" s="8"/>
      <c r="E6" s="8"/>
      <c r="F6" s="8"/>
      <c r="G6" s="8"/>
      <c r="H6" s="8"/>
      <c r="I6" s="8"/>
      <c r="J6" s="8"/>
      <c r="K6" s="8"/>
      <c r="L6" s="8"/>
      <c r="M6" s="8"/>
      <c r="N6" s="8"/>
      <c r="O6" s="8"/>
      <c r="P6" s="8"/>
      <c r="Q6" s="8"/>
      <c r="R6" s="8"/>
    </row>
    <row r="7" spans="1:18">
      <c r="A7" s="8"/>
      <c r="B7" s="8"/>
      <c r="C7" s="8"/>
      <c r="D7" s="8"/>
      <c r="E7" s="8"/>
      <c r="F7" s="8"/>
      <c r="G7" s="8"/>
      <c r="H7" s="8"/>
      <c r="I7" s="8"/>
      <c r="J7" s="8"/>
      <c r="K7" s="8"/>
      <c r="L7" s="8"/>
      <c r="M7" s="8"/>
      <c r="N7" s="8"/>
      <c r="O7" s="8"/>
      <c r="P7" s="8"/>
      <c r="Q7" s="8"/>
      <c r="R7" s="8"/>
    </row>
    <row r="8" spans="1:18">
      <c r="A8" s="8"/>
      <c r="B8" s="8"/>
      <c r="C8" s="8"/>
      <c r="D8" s="8"/>
      <c r="E8" s="8"/>
      <c r="F8" s="8"/>
      <c r="G8" s="8"/>
      <c r="H8" s="8"/>
      <c r="I8" s="8"/>
      <c r="J8" s="8"/>
      <c r="K8" s="8"/>
      <c r="L8" s="8"/>
      <c r="M8" s="8"/>
      <c r="N8" s="8"/>
      <c r="O8" s="8"/>
      <c r="P8" s="8"/>
      <c r="Q8" s="8"/>
      <c r="R8" s="8"/>
    </row>
    <row r="9" spans="1:18">
      <c r="A9" s="8"/>
      <c r="B9" s="8"/>
      <c r="C9" s="8"/>
      <c r="D9" s="8"/>
      <c r="E9" s="8"/>
      <c r="F9" s="8"/>
      <c r="G9" s="8"/>
      <c r="H9" s="8"/>
      <c r="I9" s="8"/>
      <c r="J9" s="8"/>
      <c r="K9" s="8"/>
      <c r="L9" s="8"/>
      <c r="M9" s="8"/>
      <c r="N9" s="8"/>
      <c r="O9" s="8"/>
      <c r="P9" s="8"/>
      <c r="Q9" s="8"/>
      <c r="R9" s="8"/>
    </row>
    <row r="10" spans="1:18">
      <c r="A10" s="8"/>
      <c r="B10" s="8"/>
      <c r="C10" s="8"/>
      <c r="D10" s="8"/>
      <c r="E10" s="8"/>
      <c r="F10" s="8"/>
      <c r="G10" s="8"/>
      <c r="H10" s="8"/>
      <c r="I10" s="8"/>
      <c r="J10" s="8"/>
      <c r="K10" s="8"/>
      <c r="L10" s="8"/>
      <c r="M10" s="8"/>
      <c r="N10" s="8"/>
      <c r="O10" s="8"/>
      <c r="P10" s="8"/>
      <c r="Q10" s="8"/>
      <c r="R10" s="8"/>
    </row>
    <row r="11" spans="1:18">
      <c r="A11" s="8"/>
      <c r="B11" s="8"/>
      <c r="C11" s="8"/>
      <c r="D11" s="8"/>
      <c r="E11" s="8"/>
      <c r="F11" s="8"/>
      <c r="G11" s="8"/>
      <c r="H11" s="8"/>
      <c r="I11" s="8"/>
      <c r="J11" s="8"/>
      <c r="K11" s="8"/>
      <c r="L11" s="8"/>
      <c r="M11" s="8"/>
      <c r="N11" s="8"/>
      <c r="O11" s="8"/>
      <c r="P11" s="8"/>
      <c r="Q11" s="8"/>
      <c r="R11" s="8"/>
    </row>
    <row r="12" spans="1:18">
      <c r="A12" s="8"/>
      <c r="B12" s="8"/>
      <c r="C12" s="8"/>
      <c r="D12" s="8"/>
      <c r="E12" s="8"/>
      <c r="F12" s="8"/>
      <c r="G12" s="8"/>
      <c r="H12" s="8"/>
      <c r="I12" s="8"/>
      <c r="J12" s="8"/>
      <c r="K12" s="8"/>
      <c r="L12" s="8"/>
      <c r="M12" s="8"/>
      <c r="N12" s="8"/>
      <c r="O12" s="8"/>
      <c r="P12" s="8"/>
      <c r="Q12" s="8"/>
      <c r="R12" s="8"/>
    </row>
    <row r="13" spans="1:18">
      <c r="A13" s="8"/>
      <c r="B13" s="8"/>
      <c r="C13" s="8"/>
      <c r="D13" s="8"/>
      <c r="E13" s="8"/>
      <c r="F13" s="8"/>
      <c r="G13" s="8"/>
      <c r="H13" s="8"/>
      <c r="I13" s="8"/>
      <c r="J13" s="8"/>
      <c r="K13" s="8"/>
      <c r="L13" s="8"/>
      <c r="M13" s="8"/>
      <c r="N13" s="8"/>
      <c r="O13" s="8"/>
      <c r="P13" s="8"/>
      <c r="Q13" s="8"/>
      <c r="R13" s="8"/>
    </row>
    <row r="14" spans="1:18">
      <c r="A14" s="8"/>
      <c r="B14" s="8"/>
      <c r="C14" s="8"/>
      <c r="D14" s="8"/>
      <c r="E14" s="8"/>
      <c r="F14" s="8"/>
      <c r="G14" s="8"/>
      <c r="H14" s="8"/>
      <c r="I14" s="8"/>
      <c r="J14" s="8"/>
      <c r="K14" s="8"/>
      <c r="L14" s="8"/>
      <c r="M14" s="8"/>
      <c r="N14" s="8"/>
      <c r="O14" s="8"/>
      <c r="P14" s="8"/>
      <c r="Q14" s="8"/>
      <c r="R14" s="8"/>
    </row>
    <row r="15" spans="1:18">
      <c r="A15" s="8"/>
      <c r="B15" s="8"/>
      <c r="C15" s="8"/>
      <c r="D15" s="8"/>
      <c r="E15" s="8"/>
      <c r="F15" s="8"/>
      <c r="G15" s="8"/>
      <c r="H15" s="8"/>
      <c r="I15" s="8"/>
      <c r="J15" s="8"/>
      <c r="K15" s="8"/>
      <c r="L15" s="8"/>
      <c r="M15" s="8"/>
      <c r="N15" s="8"/>
      <c r="O15" s="8"/>
      <c r="P15" s="8"/>
      <c r="Q15" s="8"/>
      <c r="R15" s="8"/>
    </row>
    <row r="16" spans="1:18">
      <c r="A16" s="8"/>
      <c r="B16" s="8"/>
      <c r="C16" s="8"/>
      <c r="D16" s="8"/>
      <c r="E16" s="8"/>
      <c r="F16" s="8"/>
      <c r="G16" s="8"/>
      <c r="H16" s="8"/>
      <c r="I16" s="8"/>
      <c r="J16" s="8"/>
      <c r="K16" s="8"/>
      <c r="L16" s="8"/>
      <c r="M16" s="8"/>
      <c r="N16" s="8"/>
      <c r="O16" s="8"/>
      <c r="P16" s="8"/>
      <c r="Q16" s="8"/>
      <c r="R16" s="8"/>
    </row>
    <row r="17" spans="1:18">
      <c r="A17" s="8"/>
      <c r="B17" s="8"/>
      <c r="C17" s="8"/>
      <c r="D17" s="8"/>
      <c r="E17" s="8"/>
      <c r="F17" s="8"/>
      <c r="G17" s="8"/>
      <c r="H17" s="8"/>
      <c r="I17" s="8"/>
      <c r="J17" s="8"/>
      <c r="K17" s="8"/>
      <c r="L17" s="8"/>
      <c r="M17" s="8"/>
      <c r="N17" s="8"/>
      <c r="O17" s="8"/>
      <c r="P17" s="8"/>
      <c r="Q17" s="8"/>
      <c r="R17" s="8"/>
    </row>
    <row r="18" spans="1:18">
      <c r="A18" s="8"/>
      <c r="B18" s="8"/>
      <c r="C18" s="8"/>
      <c r="D18" s="8"/>
      <c r="E18" s="8"/>
      <c r="F18" s="8"/>
      <c r="G18" s="8"/>
      <c r="H18" s="8"/>
      <c r="I18" s="8"/>
      <c r="J18" s="8"/>
      <c r="K18" s="8"/>
      <c r="L18" s="8"/>
      <c r="M18" s="8"/>
      <c r="N18" s="8"/>
      <c r="O18" s="8"/>
      <c r="P18" s="8"/>
      <c r="Q18" s="8"/>
      <c r="R18" s="8"/>
    </row>
    <row r="19" spans="1:18">
      <c r="A19" s="8"/>
      <c r="B19" s="8"/>
      <c r="C19" s="8"/>
      <c r="D19" s="8"/>
      <c r="E19" s="8"/>
      <c r="F19" s="8"/>
      <c r="G19" s="8"/>
      <c r="H19" s="8"/>
      <c r="I19" s="8"/>
      <c r="J19" s="8"/>
      <c r="K19" s="8"/>
      <c r="L19" s="8"/>
      <c r="M19" s="8"/>
      <c r="N19" s="8"/>
      <c r="O19" s="8"/>
      <c r="P19" s="8"/>
      <c r="Q19" s="8"/>
      <c r="R19" s="8"/>
    </row>
    <row r="20" spans="1:18">
      <c r="A20" s="8"/>
      <c r="B20" s="8"/>
      <c r="C20" s="8"/>
      <c r="D20" s="8"/>
      <c r="E20" s="8"/>
      <c r="F20" s="8"/>
      <c r="G20" s="8"/>
      <c r="H20" s="8"/>
      <c r="I20" s="8"/>
      <c r="J20" s="8"/>
      <c r="K20" s="8"/>
      <c r="L20" s="8"/>
      <c r="M20" s="8"/>
      <c r="N20" s="8"/>
      <c r="O20" s="8"/>
      <c r="P20" s="8"/>
      <c r="Q20" s="8"/>
      <c r="R20" s="8"/>
    </row>
    <row r="21" spans="1:18">
      <c r="A21" s="8"/>
      <c r="B21" s="8"/>
      <c r="C21" s="8"/>
      <c r="D21" s="8"/>
      <c r="E21" s="8"/>
      <c r="F21" s="8"/>
      <c r="G21" s="8"/>
      <c r="H21" s="8"/>
      <c r="I21" s="8"/>
      <c r="J21" s="8"/>
      <c r="K21" s="8"/>
      <c r="L21" s="8"/>
      <c r="M21" s="8"/>
      <c r="N21" s="8"/>
      <c r="O21" s="8"/>
      <c r="P21" s="8"/>
      <c r="Q21" s="8"/>
      <c r="R21" s="8"/>
    </row>
    <row r="22" spans="1:18">
      <c r="A22" s="8"/>
      <c r="B22" s="8"/>
      <c r="C22" s="8"/>
      <c r="D22" s="8"/>
      <c r="E22" s="8"/>
      <c r="F22" s="8"/>
      <c r="G22" s="8"/>
      <c r="H22" s="8"/>
      <c r="I22" s="8"/>
      <c r="J22" s="8"/>
      <c r="K22" s="8"/>
      <c r="L22" s="8"/>
      <c r="M22" s="8"/>
      <c r="N22" s="8"/>
      <c r="O22" s="8"/>
      <c r="P22" s="8"/>
      <c r="Q22" s="8"/>
      <c r="R22" s="8"/>
    </row>
    <row r="23" spans="1:18">
      <c r="A23" s="8"/>
      <c r="B23" s="8"/>
      <c r="C23" s="8"/>
      <c r="D23" s="8"/>
      <c r="E23" s="8"/>
      <c r="F23" s="8"/>
      <c r="G23" s="8"/>
      <c r="H23" s="8"/>
      <c r="I23" s="8"/>
      <c r="J23" s="8"/>
      <c r="K23" s="8"/>
      <c r="L23" s="8"/>
      <c r="M23" s="8"/>
      <c r="N23" s="8"/>
      <c r="O23" s="8"/>
      <c r="P23" s="8"/>
      <c r="Q23" s="8"/>
      <c r="R23" s="8"/>
    </row>
    <row r="24" spans="1:18">
      <c r="A24" s="8"/>
      <c r="B24" s="8"/>
      <c r="C24" s="8"/>
      <c r="D24" s="8"/>
      <c r="E24" s="8"/>
      <c r="F24" s="8"/>
      <c r="G24" s="8"/>
      <c r="H24" s="8"/>
      <c r="I24" s="8"/>
      <c r="J24" s="8"/>
      <c r="K24" s="8"/>
      <c r="L24" s="8"/>
      <c r="M24" s="8"/>
      <c r="N24" s="8"/>
      <c r="O24" s="8"/>
      <c r="P24" s="8"/>
      <c r="Q24" s="8"/>
      <c r="R24" s="8"/>
    </row>
    <row r="25" spans="1:18">
      <c r="A25" s="8"/>
      <c r="B25" s="8"/>
      <c r="C25" s="8"/>
      <c r="D25" s="8"/>
      <c r="E25" s="8"/>
      <c r="F25" s="8"/>
      <c r="G25" s="8"/>
      <c r="H25" s="8"/>
      <c r="I25" s="8"/>
      <c r="J25" s="8"/>
      <c r="K25" s="8"/>
      <c r="L25" s="8"/>
      <c r="M25" s="8"/>
      <c r="N25" s="8"/>
      <c r="O25" s="8"/>
      <c r="P25" s="8"/>
      <c r="Q25" s="8"/>
      <c r="R25" s="8"/>
    </row>
    <row r="26" spans="1:18">
      <c r="A26" s="8"/>
      <c r="B26" s="8"/>
      <c r="C26" s="8"/>
      <c r="D26" s="8"/>
      <c r="E26" s="8"/>
      <c r="F26" s="8"/>
      <c r="G26" s="8"/>
      <c r="H26" s="8"/>
      <c r="I26" s="8"/>
      <c r="J26" s="8"/>
      <c r="K26" s="8"/>
      <c r="L26" s="8"/>
      <c r="M26" s="8"/>
      <c r="N26" s="8"/>
      <c r="O26" s="8"/>
      <c r="P26" s="8"/>
      <c r="Q26" s="8"/>
      <c r="R26" s="8"/>
    </row>
    <row r="27" spans="1:18">
      <c r="A27" s="8"/>
      <c r="B27" s="8"/>
      <c r="C27" s="8"/>
      <c r="D27" s="8"/>
      <c r="E27" s="8"/>
      <c r="F27" s="8"/>
      <c r="G27" s="8"/>
      <c r="H27" s="8"/>
      <c r="I27" s="8"/>
      <c r="J27" s="8"/>
      <c r="K27" s="8"/>
      <c r="L27" s="8"/>
      <c r="M27" s="8"/>
      <c r="N27" s="8"/>
      <c r="O27" s="8"/>
      <c r="P27" s="8"/>
      <c r="Q27" s="8"/>
      <c r="R27" s="8"/>
    </row>
    <row r="28" spans="1:18">
      <c r="A28" s="8"/>
      <c r="B28" s="8"/>
      <c r="C28" s="8"/>
      <c r="D28" s="8"/>
      <c r="E28" s="8"/>
      <c r="F28" s="8"/>
      <c r="G28" s="8"/>
      <c r="H28" s="8"/>
      <c r="I28" s="8"/>
      <c r="J28" s="8"/>
      <c r="K28" s="8"/>
      <c r="L28" s="8"/>
      <c r="M28" s="8"/>
      <c r="N28" s="8"/>
      <c r="O28" s="8"/>
      <c r="P28" s="8"/>
      <c r="Q28" s="8"/>
      <c r="R28" s="8"/>
    </row>
    <row r="29" spans="1:18">
      <c r="A29" s="8"/>
      <c r="B29" s="8"/>
      <c r="C29" s="8"/>
      <c r="D29" s="8"/>
      <c r="E29" s="8"/>
      <c r="F29" s="8"/>
      <c r="G29" s="8"/>
      <c r="H29" s="8"/>
      <c r="I29" s="8"/>
      <c r="J29" s="8"/>
      <c r="K29" s="8"/>
      <c r="L29" s="8"/>
      <c r="M29" s="8"/>
      <c r="N29" s="8"/>
      <c r="O29" s="8"/>
      <c r="P29" s="8"/>
      <c r="Q29" s="8"/>
      <c r="R29" s="8"/>
    </row>
    <row r="30" spans="1:18">
      <c r="A30" s="8"/>
      <c r="B30" s="8"/>
      <c r="C30" s="8"/>
      <c r="D30" s="8"/>
      <c r="E30" s="8"/>
      <c r="F30" s="8"/>
      <c r="G30" s="8"/>
      <c r="H30" s="8"/>
      <c r="I30" s="8"/>
      <c r="J30" s="8"/>
      <c r="K30" s="8"/>
      <c r="L30" s="8"/>
      <c r="M30" s="8"/>
      <c r="N30" s="8"/>
      <c r="O30" s="8"/>
      <c r="P30" s="8"/>
      <c r="Q30" s="8"/>
      <c r="R30" s="8"/>
    </row>
    <row r="31" spans="1:18">
      <c r="A31" s="8"/>
      <c r="B31" s="8"/>
      <c r="C31" s="8"/>
      <c r="D31" s="8"/>
      <c r="E31" s="8"/>
      <c r="F31" s="8"/>
      <c r="G31" s="8"/>
      <c r="H31" s="8"/>
      <c r="I31" s="8"/>
      <c r="J31" s="8"/>
      <c r="K31" s="8"/>
      <c r="L31" s="8"/>
      <c r="M31" s="8"/>
      <c r="N31" s="8"/>
      <c r="O31" s="8"/>
      <c r="P31" s="8"/>
      <c r="Q31" s="8"/>
      <c r="R31" s="8"/>
    </row>
    <row r="32" spans="1:18">
      <c r="A32" s="8"/>
      <c r="B32" s="8"/>
      <c r="C32" s="8"/>
      <c r="D32" s="8"/>
      <c r="E32" s="8"/>
      <c r="F32" s="8"/>
      <c r="G32" s="8"/>
      <c r="H32" s="8"/>
      <c r="I32" s="8"/>
      <c r="J32" s="8"/>
      <c r="K32" s="8"/>
      <c r="L32" s="8"/>
      <c r="M32" s="8"/>
      <c r="N32" s="8"/>
      <c r="O32" s="8"/>
      <c r="P32" s="8"/>
      <c r="Q32" s="8"/>
      <c r="R32" s="8"/>
    </row>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 Investment Avenue by Gender </vt:lpstr>
      <vt:lpstr>Preferences by Age Group</vt:lpstr>
      <vt:lpstr>Factors Influencing Decisions</vt:lpstr>
      <vt:lpstr>Saving Objectives by Investment</vt:lpstr>
      <vt:lpstr>Reasons for MF by Returns</vt:lpstr>
      <vt:lpstr>KPI Base Pivot</vt:lpstr>
      <vt:lpstr>KPI HELPER</vt:lpstr>
      <vt:lpstr>Investment Preference Data</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Damsel Umeh</dc:creator>
  <cp:lastModifiedBy>ikechukwu ifeanyichukwu</cp:lastModifiedBy>
  <cp:lastPrinted>2026-01-07T16:23:09Z</cp:lastPrinted>
  <dcterms:created xsi:type="dcterms:W3CDTF">2025-12-05T09:18:59Z</dcterms:created>
  <dcterms:modified xsi:type="dcterms:W3CDTF">2026-01-07T16:25:24Z</dcterms:modified>
</cp:coreProperties>
</file>